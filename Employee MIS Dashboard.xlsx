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ausiful Haque\Desktop\"/>
    </mc:Choice>
  </mc:AlternateContent>
  <xr:revisionPtr revIDLastSave="0" documentId="13_ncr:1_{E4F331B9-FCDA-4139-9505-072291BC120C}" xr6:coauthVersionLast="47" xr6:coauthVersionMax="47" xr10:uidLastSave="{00000000-0000-0000-0000-000000000000}"/>
  <bookViews>
    <workbookView xWindow="-108" yWindow="-108" windowWidth="23256" windowHeight="12456" xr2:uid="{00000000-000D-0000-FFFF-FFFF00000000}"/>
  </bookViews>
  <sheets>
    <sheet name="Messy_Data" sheetId="1" r:id="rId1"/>
    <sheet name="Clean_Data" sheetId="2" r:id="rId2"/>
    <sheet name="Pivote_Table" sheetId="5" r:id="rId3"/>
    <sheet name="Dasboard" sheetId="7" r:id="rId4"/>
  </sheets>
  <definedNames>
    <definedName name="NativeTimeline_End_Date_Clean">#N/A</definedName>
    <definedName name="NativeTimeline_Join_Date_Clean">#N/A</definedName>
    <definedName name="Slicer_Experience_Years">#N/A</definedName>
    <definedName name="Slicer_Salary">#N/A</definedName>
    <definedName name="Slicer_Salary_Range">#N/A</definedName>
    <definedName name="Slicer_Status_Clea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2" i="2"/>
  <c r="Z2" i="2"/>
  <c r="Y2" i="2"/>
  <c r="V2" i="2"/>
  <c r="U2" i="2"/>
  <c r="T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2" i="2"/>
  <c r="N2" i="2"/>
  <c r="M2" i="2"/>
  <c r="L2" i="2"/>
  <c r="K2" i="2"/>
  <c r="Q6" i="1"/>
  <c r="Q9" i="1"/>
  <c r="Q12" i="1"/>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2" i="2"/>
  <c r="B2" i="1"/>
  <c r="Z11" i="1"/>
  <c r="Z8" i="1"/>
  <c r="Q15" i="1"/>
  <c r="Q3" i="1"/>
  <c r="P5" i="1"/>
  <c r="S17" i="1"/>
  <c r="P3" i="1"/>
  <c r="P4"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2" i="1"/>
  <c r="J3" i="1"/>
  <c r="E3" i="2" s="1"/>
  <c r="J4" i="1"/>
  <c r="E4" i="2" s="1"/>
  <c r="J5" i="1"/>
  <c r="E5" i="2" s="1"/>
  <c r="J6" i="1"/>
  <c r="E6" i="2" s="1"/>
  <c r="J7" i="1"/>
  <c r="E7" i="2" s="1"/>
  <c r="J8" i="1"/>
  <c r="E8" i="2" s="1"/>
  <c r="J9" i="1"/>
  <c r="E9" i="2" s="1"/>
  <c r="J10" i="1"/>
  <c r="E10" i="2" s="1"/>
  <c r="J11" i="1"/>
  <c r="E11" i="2" s="1"/>
  <c r="J12" i="1"/>
  <c r="E12" i="2" s="1"/>
  <c r="J13" i="1"/>
  <c r="E13" i="2" s="1"/>
  <c r="J14" i="1"/>
  <c r="E14" i="2" s="1"/>
  <c r="J15" i="1"/>
  <c r="E15" i="2" s="1"/>
  <c r="J16" i="1"/>
  <c r="E16" i="2" s="1"/>
  <c r="J17" i="1"/>
  <c r="E17" i="2" s="1"/>
  <c r="J18" i="1"/>
  <c r="E18" i="2" s="1"/>
  <c r="J19" i="1"/>
  <c r="E19" i="2" s="1"/>
  <c r="J20" i="1"/>
  <c r="E20" i="2" s="1"/>
  <c r="J21" i="1"/>
  <c r="E21" i="2" s="1"/>
  <c r="J22" i="1"/>
  <c r="E22" i="2" s="1"/>
  <c r="J23" i="1"/>
  <c r="E23" i="2" s="1"/>
  <c r="J24" i="1"/>
  <c r="E24" i="2" s="1"/>
  <c r="J25" i="1"/>
  <c r="E25" i="2" s="1"/>
  <c r="J26" i="1"/>
  <c r="E26" i="2" s="1"/>
  <c r="J27" i="1"/>
  <c r="E27" i="2" s="1"/>
  <c r="J28" i="1"/>
  <c r="E28" i="2" s="1"/>
  <c r="J29" i="1"/>
  <c r="E29" i="2" s="1"/>
  <c r="J30" i="1"/>
  <c r="E30" i="2" s="1"/>
  <c r="J31" i="1"/>
  <c r="E31" i="2" s="1"/>
  <c r="J32" i="1"/>
  <c r="E32" i="2" s="1"/>
  <c r="J33" i="1"/>
  <c r="E33" i="2" s="1"/>
  <c r="J34" i="1"/>
  <c r="E34" i="2" s="1"/>
  <c r="J35" i="1"/>
  <c r="E35" i="2" s="1"/>
  <c r="J36" i="1"/>
  <c r="E36" i="2" s="1"/>
  <c r="J37" i="1"/>
  <c r="E37" i="2" s="1"/>
  <c r="J38" i="1"/>
  <c r="E38" i="2" s="1"/>
  <c r="J39" i="1"/>
  <c r="E39" i="2" s="1"/>
  <c r="J40" i="1"/>
  <c r="E40" i="2" s="1"/>
  <c r="J41" i="1"/>
  <c r="E41" i="2" s="1"/>
  <c r="J42" i="1"/>
  <c r="E42" i="2" s="1"/>
  <c r="J43" i="1"/>
  <c r="E43" i="2" s="1"/>
  <c r="J44" i="1"/>
  <c r="E44" i="2" s="1"/>
  <c r="J45" i="1"/>
  <c r="E45" i="2" s="1"/>
  <c r="J46" i="1"/>
  <c r="E46" i="2" s="1"/>
  <c r="J47" i="1"/>
  <c r="E47" i="2" s="1"/>
  <c r="J48" i="1"/>
  <c r="E48" i="2" s="1"/>
  <c r="J49" i="1"/>
  <c r="E49" i="2" s="1"/>
  <c r="J50" i="1"/>
  <c r="E50" i="2" s="1"/>
  <c r="J51" i="1"/>
  <c r="E51" i="2" s="1"/>
  <c r="J52" i="1"/>
  <c r="E52" i="2" s="1"/>
  <c r="J53" i="1"/>
  <c r="E53" i="2" s="1"/>
  <c r="J54" i="1"/>
  <c r="E54" i="2" s="1"/>
  <c r="J55" i="1"/>
  <c r="E55" i="2" s="1"/>
  <c r="J56" i="1"/>
  <c r="E56" i="2" s="1"/>
  <c r="J57" i="1"/>
  <c r="E57" i="2" s="1"/>
  <c r="J58" i="1"/>
  <c r="E58" i="2" s="1"/>
  <c r="J59" i="1"/>
  <c r="E59" i="2" s="1"/>
  <c r="J60" i="1"/>
  <c r="E60" i="2" s="1"/>
  <c r="J61" i="1"/>
  <c r="E61" i="2" s="1"/>
  <c r="J62" i="1"/>
  <c r="E62" i="2" s="1"/>
  <c r="J63" i="1"/>
  <c r="E63" i="2" s="1"/>
  <c r="J64" i="1"/>
  <c r="E64" i="2" s="1"/>
  <c r="J65" i="1"/>
  <c r="E65" i="2" s="1"/>
  <c r="J66" i="1"/>
  <c r="E66" i="2" s="1"/>
  <c r="J67" i="1"/>
  <c r="E67" i="2" s="1"/>
  <c r="J68" i="1"/>
  <c r="E68" i="2" s="1"/>
  <c r="J69" i="1"/>
  <c r="E69" i="2" s="1"/>
  <c r="J70" i="1"/>
  <c r="E70" i="2" s="1"/>
  <c r="J71" i="1"/>
  <c r="E71" i="2" s="1"/>
  <c r="J72" i="1"/>
  <c r="E72" i="2" s="1"/>
  <c r="J73" i="1"/>
  <c r="E73" i="2" s="1"/>
  <c r="J74" i="1"/>
  <c r="E74" i="2" s="1"/>
  <c r="J75" i="1"/>
  <c r="E75" i="2" s="1"/>
  <c r="J76" i="1"/>
  <c r="E76" i="2" s="1"/>
  <c r="J77" i="1"/>
  <c r="E77" i="2" s="1"/>
  <c r="J78" i="1"/>
  <c r="E78" i="2" s="1"/>
  <c r="J79" i="1"/>
  <c r="E79" i="2" s="1"/>
  <c r="J80" i="1"/>
  <c r="E80" i="2" s="1"/>
  <c r="J81" i="1"/>
  <c r="E81" i="2" s="1"/>
  <c r="J82" i="1"/>
  <c r="E82" i="2" s="1"/>
  <c r="J83" i="1"/>
  <c r="E83" i="2" s="1"/>
  <c r="J84" i="1"/>
  <c r="E84" i="2" s="1"/>
  <c r="J85" i="1"/>
  <c r="E85" i="2" s="1"/>
  <c r="J86" i="1"/>
  <c r="E86" i="2" s="1"/>
  <c r="J87" i="1"/>
  <c r="E87" i="2" s="1"/>
  <c r="J88" i="1"/>
  <c r="E88" i="2" s="1"/>
  <c r="J89" i="1"/>
  <c r="E89" i="2" s="1"/>
  <c r="J90" i="1"/>
  <c r="E90" i="2" s="1"/>
  <c r="J91" i="1"/>
  <c r="E91" i="2" s="1"/>
  <c r="J92" i="1"/>
  <c r="E92" i="2" s="1"/>
  <c r="J93" i="1"/>
  <c r="E93" i="2" s="1"/>
  <c r="J94" i="1"/>
  <c r="E94" i="2" s="1"/>
  <c r="J95" i="1"/>
  <c r="E95" i="2" s="1"/>
  <c r="J96" i="1"/>
  <c r="E96" i="2" s="1"/>
  <c r="J97" i="1"/>
  <c r="E97" i="2" s="1"/>
  <c r="J98" i="1"/>
  <c r="E98" i="2" s="1"/>
  <c r="J99" i="1"/>
  <c r="E99" i="2" s="1"/>
  <c r="J100" i="1"/>
  <c r="E100" i="2" s="1"/>
  <c r="J101" i="1"/>
  <c r="E101" i="2" s="1"/>
  <c r="J102" i="1"/>
  <c r="E102" i="2" s="1"/>
  <c r="J103" i="1"/>
  <c r="E103" i="2" s="1"/>
  <c r="J104" i="1"/>
  <c r="E104" i="2" s="1"/>
  <c r="J105" i="1"/>
  <c r="E105" i="2" s="1"/>
  <c r="J106" i="1"/>
  <c r="E106" i="2" s="1"/>
  <c r="J107" i="1"/>
  <c r="E107" i="2" s="1"/>
  <c r="J108" i="1"/>
  <c r="E108" i="2" s="1"/>
  <c r="J109" i="1"/>
  <c r="E109" i="2" s="1"/>
  <c r="J110" i="1"/>
  <c r="E110" i="2" s="1"/>
  <c r="J111" i="1"/>
  <c r="E111" i="2" s="1"/>
  <c r="J112" i="1"/>
  <c r="E112" i="2" s="1"/>
  <c r="J113" i="1"/>
  <c r="E113" i="2" s="1"/>
  <c r="J114" i="1"/>
  <c r="E114" i="2" s="1"/>
  <c r="J115" i="1"/>
  <c r="E115" i="2" s="1"/>
  <c r="J116" i="1"/>
  <c r="E116" i="2" s="1"/>
  <c r="J117" i="1"/>
  <c r="E117" i="2" s="1"/>
  <c r="J118" i="1"/>
  <c r="E118" i="2" s="1"/>
  <c r="J119" i="1"/>
  <c r="E119" i="2" s="1"/>
  <c r="J120" i="1"/>
  <c r="E120" i="2" s="1"/>
  <c r="J121" i="1"/>
  <c r="E121" i="2" s="1"/>
  <c r="J122" i="1"/>
  <c r="E122" i="2" s="1"/>
  <c r="J123" i="1"/>
  <c r="E123" i="2" s="1"/>
  <c r="J124" i="1"/>
  <c r="E124" i="2" s="1"/>
  <c r="J125" i="1"/>
  <c r="E125" i="2" s="1"/>
  <c r="J126" i="1"/>
  <c r="E126" i="2" s="1"/>
  <c r="J127" i="1"/>
  <c r="E127" i="2" s="1"/>
  <c r="J128" i="1"/>
  <c r="E128" i="2" s="1"/>
  <c r="J129" i="1"/>
  <c r="E129" i="2" s="1"/>
  <c r="J130" i="1"/>
  <c r="E130" i="2" s="1"/>
  <c r="J131" i="1"/>
  <c r="E131" i="2" s="1"/>
  <c r="J132" i="1"/>
  <c r="E132" i="2" s="1"/>
  <c r="J133" i="1"/>
  <c r="E133" i="2" s="1"/>
  <c r="J134" i="1"/>
  <c r="E134" i="2" s="1"/>
  <c r="J135" i="1"/>
  <c r="E135" i="2" s="1"/>
  <c r="J136" i="1"/>
  <c r="E136" i="2" s="1"/>
  <c r="J137" i="1"/>
  <c r="E137" i="2" s="1"/>
  <c r="J138" i="1"/>
  <c r="E138" i="2" s="1"/>
  <c r="J139" i="1"/>
  <c r="E139" i="2" s="1"/>
  <c r="J140" i="1"/>
  <c r="E140" i="2" s="1"/>
  <c r="J141" i="1"/>
  <c r="E141" i="2" s="1"/>
  <c r="J142" i="1"/>
  <c r="E142" i="2" s="1"/>
  <c r="J143" i="1"/>
  <c r="E143" i="2" s="1"/>
  <c r="J144" i="1"/>
  <c r="E144" i="2" s="1"/>
  <c r="J145" i="1"/>
  <c r="E145" i="2" s="1"/>
  <c r="J146" i="1"/>
  <c r="E146" i="2" s="1"/>
  <c r="J147" i="1"/>
  <c r="E147" i="2" s="1"/>
  <c r="J148" i="1"/>
  <c r="E148" i="2" s="1"/>
  <c r="J149" i="1"/>
  <c r="E149" i="2" s="1"/>
  <c r="J150" i="1"/>
  <c r="E150" i="2" s="1"/>
  <c r="J151" i="1"/>
  <c r="E151" i="2" s="1"/>
  <c r="J152" i="1"/>
  <c r="E152" i="2" s="1"/>
  <c r="J153" i="1"/>
  <c r="E153" i="2" s="1"/>
  <c r="J154" i="1"/>
  <c r="E154" i="2" s="1"/>
  <c r="J155" i="1"/>
  <c r="E155" i="2" s="1"/>
  <c r="J156" i="1"/>
  <c r="E156" i="2" s="1"/>
  <c r="J157" i="1"/>
  <c r="E157" i="2" s="1"/>
  <c r="J158" i="1"/>
  <c r="E158" i="2" s="1"/>
  <c r="J159" i="1"/>
  <c r="E159" i="2" s="1"/>
  <c r="J160" i="1"/>
  <c r="E160" i="2" s="1"/>
  <c r="J161" i="1"/>
  <c r="E161" i="2" s="1"/>
  <c r="J162" i="1"/>
  <c r="E162" i="2" s="1"/>
  <c r="J163" i="1"/>
  <c r="E163" i="2" s="1"/>
  <c r="J164" i="1"/>
  <c r="E164" i="2" s="1"/>
  <c r="J165" i="1"/>
  <c r="E165" i="2" s="1"/>
  <c r="J166" i="1"/>
  <c r="E166" i="2" s="1"/>
  <c r="J167" i="1"/>
  <c r="E167" i="2" s="1"/>
  <c r="J168" i="1"/>
  <c r="E168" i="2" s="1"/>
  <c r="J169" i="1"/>
  <c r="E169" i="2" s="1"/>
  <c r="J170" i="1"/>
  <c r="E170" i="2" s="1"/>
  <c r="J171" i="1"/>
  <c r="E171" i="2" s="1"/>
  <c r="J172" i="1"/>
  <c r="E172" i="2" s="1"/>
  <c r="J173" i="1"/>
  <c r="E173" i="2" s="1"/>
  <c r="J174" i="1"/>
  <c r="E174" i="2" s="1"/>
  <c r="J175" i="1"/>
  <c r="E175" i="2" s="1"/>
  <c r="J176" i="1"/>
  <c r="E176" i="2" s="1"/>
  <c r="J177" i="1"/>
  <c r="E177" i="2" s="1"/>
  <c r="J178" i="1"/>
  <c r="E178" i="2" s="1"/>
  <c r="J179" i="1"/>
  <c r="E179" i="2" s="1"/>
  <c r="J180" i="1"/>
  <c r="E180" i="2" s="1"/>
  <c r="J181" i="1"/>
  <c r="E181" i="2" s="1"/>
  <c r="J182" i="1"/>
  <c r="E182" i="2" s="1"/>
  <c r="J183" i="1"/>
  <c r="E183" i="2" s="1"/>
  <c r="J184" i="1"/>
  <c r="E184" i="2" s="1"/>
  <c r="J185" i="1"/>
  <c r="E185" i="2" s="1"/>
  <c r="J186" i="1"/>
  <c r="E186" i="2" s="1"/>
  <c r="J187" i="1"/>
  <c r="E187" i="2" s="1"/>
  <c r="J188" i="1"/>
  <c r="E188" i="2" s="1"/>
  <c r="J189" i="1"/>
  <c r="E189" i="2" s="1"/>
  <c r="J190" i="1"/>
  <c r="E190" i="2" s="1"/>
  <c r="J191" i="1"/>
  <c r="E191" i="2" s="1"/>
  <c r="J192" i="1"/>
  <c r="E192" i="2" s="1"/>
  <c r="J193" i="1"/>
  <c r="E193" i="2" s="1"/>
  <c r="J194" i="1"/>
  <c r="E194" i="2" s="1"/>
  <c r="J195" i="1"/>
  <c r="E195" i="2" s="1"/>
  <c r="J196" i="1"/>
  <c r="E196" i="2" s="1"/>
  <c r="J197" i="1"/>
  <c r="E197" i="2" s="1"/>
  <c r="J198" i="1"/>
  <c r="E198" i="2" s="1"/>
  <c r="J199" i="1"/>
  <c r="E199" i="2" s="1"/>
  <c r="J200" i="1"/>
  <c r="E200" i="2" s="1"/>
  <c r="J201" i="1"/>
  <c r="E201" i="2" s="1"/>
  <c r="J202" i="1"/>
  <c r="E202" i="2" s="1"/>
  <c r="J203" i="1"/>
  <c r="E203" i="2" s="1"/>
  <c r="J204" i="1"/>
  <c r="E204" i="2" s="1"/>
  <c r="J205" i="1"/>
  <c r="E205" i="2" s="1"/>
  <c r="J206" i="1"/>
  <c r="E206" i="2" s="1"/>
  <c r="J207" i="1"/>
  <c r="E207" i="2" s="1"/>
  <c r="J208" i="1"/>
  <c r="E208" i="2" s="1"/>
  <c r="J209" i="1"/>
  <c r="E209" i="2" s="1"/>
  <c r="J210" i="1"/>
  <c r="E210" i="2" s="1"/>
  <c r="J211" i="1"/>
  <c r="E211" i="2" s="1"/>
  <c r="J212" i="1"/>
  <c r="E212" i="2" s="1"/>
  <c r="J213" i="1"/>
  <c r="E213" i="2" s="1"/>
  <c r="J214" i="1"/>
  <c r="E214" i="2" s="1"/>
  <c r="J215" i="1"/>
  <c r="E215" i="2" s="1"/>
  <c r="J216" i="1"/>
  <c r="E216" i="2" s="1"/>
  <c r="J217" i="1"/>
  <c r="E217" i="2" s="1"/>
  <c r="J218" i="1"/>
  <c r="E218" i="2" s="1"/>
  <c r="J219" i="1"/>
  <c r="E219" i="2" s="1"/>
  <c r="J220" i="1"/>
  <c r="E220" i="2" s="1"/>
  <c r="J221" i="1"/>
  <c r="E221" i="2" s="1"/>
  <c r="J222" i="1"/>
  <c r="E222" i="2" s="1"/>
  <c r="J223" i="1"/>
  <c r="E223" i="2" s="1"/>
  <c r="J224" i="1"/>
  <c r="E224" i="2" s="1"/>
  <c r="J225" i="1"/>
  <c r="E225" i="2" s="1"/>
  <c r="J226" i="1"/>
  <c r="E226" i="2" s="1"/>
  <c r="J227" i="1"/>
  <c r="E227" i="2" s="1"/>
  <c r="J228" i="1"/>
  <c r="E228" i="2" s="1"/>
  <c r="J229" i="1"/>
  <c r="E229" i="2" s="1"/>
  <c r="J230" i="1"/>
  <c r="E230" i="2" s="1"/>
  <c r="J231" i="1"/>
  <c r="E231" i="2" s="1"/>
  <c r="J232" i="1"/>
  <c r="E232" i="2" s="1"/>
  <c r="J233" i="1"/>
  <c r="E233" i="2" s="1"/>
  <c r="J234" i="1"/>
  <c r="E234" i="2" s="1"/>
  <c r="J235" i="1"/>
  <c r="E235" i="2" s="1"/>
  <c r="J236" i="1"/>
  <c r="E236" i="2" s="1"/>
  <c r="J237" i="1"/>
  <c r="E237" i="2" s="1"/>
  <c r="J238" i="1"/>
  <c r="E238" i="2" s="1"/>
  <c r="J239" i="1"/>
  <c r="E239" i="2" s="1"/>
  <c r="J240" i="1"/>
  <c r="E240" i="2" s="1"/>
  <c r="J241" i="1"/>
  <c r="E241" i="2" s="1"/>
  <c r="J242" i="1"/>
  <c r="E242" i="2" s="1"/>
  <c r="J243" i="1"/>
  <c r="E243" i="2" s="1"/>
  <c r="J244" i="1"/>
  <c r="E244" i="2" s="1"/>
  <c r="J245" i="1"/>
  <c r="E245" i="2" s="1"/>
  <c r="J246" i="1"/>
  <c r="E246" i="2" s="1"/>
  <c r="J247" i="1"/>
  <c r="E247" i="2" s="1"/>
  <c r="J248" i="1"/>
  <c r="E248" i="2" s="1"/>
  <c r="J249" i="1"/>
  <c r="E249" i="2" s="1"/>
  <c r="J250" i="1"/>
  <c r="E250" i="2" s="1"/>
  <c r="J251" i="1"/>
  <c r="E251" i="2" s="1"/>
  <c r="J252" i="1"/>
  <c r="E252" i="2" s="1"/>
  <c r="J253" i="1"/>
  <c r="E253" i="2" s="1"/>
  <c r="J254" i="1"/>
  <c r="E254" i="2" s="1"/>
  <c r="J255" i="1"/>
  <c r="E255" i="2" s="1"/>
  <c r="J256" i="1"/>
  <c r="E256" i="2" s="1"/>
  <c r="J257" i="1"/>
  <c r="E257" i="2" s="1"/>
  <c r="J258" i="1"/>
  <c r="E258" i="2" s="1"/>
  <c r="J259" i="1"/>
  <c r="E259" i="2" s="1"/>
  <c r="J260" i="1"/>
  <c r="E260" i="2" s="1"/>
  <c r="J261" i="1"/>
  <c r="E261" i="2" s="1"/>
  <c r="J262" i="1"/>
  <c r="E262" i="2" s="1"/>
  <c r="J263" i="1"/>
  <c r="E263" i="2" s="1"/>
  <c r="J264" i="1"/>
  <c r="E264" i="2" s="1"/>
  <c r="J265" i="1"/>
  <c r="E265" i="2" s="1"/>
  <c r="J266" i="1"/>
  <c r="E266" i="2" s="1"/>
  <c r="J267" i="1"/>
  <c r="E267" i="2" s="1"/>
  <c r="J268" i="1"/>
  <c r="E268" i="2" s="1"/>
  <c r="J269" i="1"/>
  <c r="E269" i="2" s="1"/>
  <c r="J270" i="1"/>
  <c r="E270" i="2" s="1"/>
  <c r="J271" i="1"/>
  <c r="E271" i="2" s="1"/>
  <c r="J272" i="1"/>
  <c r="E272" i="2" s="1"/>
  <c r="J273" i="1"/>
  <c r="E273" i="2" s="1"/>
  <c r="J274" i="1"/>
  <c r="E274" i="2" s="1"/>
  <c r="J275" i="1"/>
  <c r="E275" i="2" s="1"/>
  <c r="J276" i="1"/>
  <c r="E276" i="2" s="1"/>
  <c r="J277" i="1"/>
  <c r="E277" i="2" s="1"/>
  <c r="J278" i="1"/>
  <c r="E278" i="2" s="1"/>
  <c r="J279" i="1"/>
  <c r="E279" i="2" s="1"/>
  <c r="J280" i="1"/>
  <c r="E280" i="2" s="1"/>
  <c r="J281" i="1"/>
  <c r="E281" i="2" s="1"/>
  <c r="J282" i="1"/>
  <c r="E282" i="2" s="1"/>
  <c r="J283" i="1"/>
  <c r="E283" i="2" s="1"/>
  <c r="J284" i="1"/>
  <c r="E284" i="2" s="1"/>
  <c r="J285" i="1"/>
  <c r="E285" i="2" s="1"/>
  <c r="J286" i="1"/>
  <c r="E286" i="2" s="1"/>
  <c r="J287" i="1"/>
  <c r="E287" i="2" s="1"/>
  <c r="J288" i="1"/>
  <c r="E288" i="2" s="1"/>
  <c r="J289" i="1"/>
  <c r="E289" i="2" s="1"/>
  <c r="J290" i="1"/>
  <c r="E290" i="2" s="1"/>
  <c r="J291" i="1"/>
  <c r="E291" i="2" s="1"/>
  <c r="J292" i="1"/>
  <c r="E292" i="2" s="1"/>
  <c r="J293" i="1"/>
  <c r="E293" i="2" s="1"/>
  <c r="J294" i="1"/>
  <c r="E294" i="2" s="1"/>
  <c r="J295" i="1"/>
  <c r="E295" i="2" s="1"/>
  <c r="J296" i="1"/>
  <c r="E296" i="2" s="1"/>
  <c r="J297" i="1"/>
  <c r="E297" i="2" s="1"/>
  <c r="J298" i="1"/>
  <c r="E298" i="2" s="1"/>
  <c r="J299" i="1"/>
  <c r="E299" i="2" s="1"/>
  <c r="J300" i="1"/>
  <c r="E300" i="2" s="1"/>
  <c r="J301" i="1"/>
  <c r="E301" i="2" s="1"/>
  <c r="J2" i="1"/>
  <c r="E2" i="2" s="1"/>
  <c r="S3" i="1"/>
  <c r="S4" i="1"/>
  <c r="S5" i="1"/>
  <c r="S6" i="1"/>
  <c r="S7" i="1"/>
  <c r="S8" i="1"/>
  <c r="S9" i="1"/>
  <c r="S10" i="1"/>
  <c r="S11" i="1"/>
  <c r="S12" i="1"/>
  <c r="S13" i="1"/>
  <c r="S14" i="1"/>
  <c r="S15" i="1"/>
  <c r="S16"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Y5" i="1" l="1"/>
  <c r="Y8" i="1"/>
  <c r="V299" i="1"/>
  <c r="Q299" i="2" s="1"/>
  <c r="V283" i="1"/>
  <c r="Q283" i="2" s="1"/>
  <c r="V267" i="1"/>
  <c r="Q267" i="2" s="1"/>
  <c r="V251" i="1"/>
  <c r="Q251" i="2" s="1"/>
  <c r="V235" i="1"/>
  <c r="Q235" i="2" s="1"/>
  <c r="V219" i="1"/>
  <c r="Q219" i="2" s="1"/>
  <c r="V203" i="1"/>
  <c r="Q203" i="2" s="1"/>
  <c r="V187" i="1"/>
  <c r="Q187" i="2" s="1"/>
  <c r="V179" i="1"/>
  <c r="Q179" i="2" s="1"/>
  <c r="V171" i="1"/>
  <c r="Q171" i="2" s="1"/>
  <c r="V147" i="1"/>
  <c r="Q147" i="2" s="1"/>
  <c r="V131" i="1"/>
  <c r="Q131" i="2" s="1"/>
  <c r="V115" i="1"/>
  <c r="Q115" i="2" s="1"/>
  <c r="V99" i="1"/>
  <c r="Q99" i="2" s="1"/>
  <c r="V83" i="1"/>
  <c r="Q83" i="2" s="1"/>
  <c r="V67" i="1"/>
  <c r="Q67" i="2" s="1"/>
  <c r="V51" i="1"/>
  <c r="Q51" i="2" s="1"/>
  <c r="V43" i="1"/>
  <c r="Q43" i="2" s="1"/>
  <c r="V27" i="1"/>
  <c r="Q27" i="2" s="1"/>
  <c r="V3" i="1"/>
  <c r="Q3" i="2" s="1"/>
  <c r="V298" i="1"/>
  <c r="Q298" i="2" s="1"/>
  <c r="V290" i="1"/>
  <c r="Q290" i="2" s="1"/>
  <c r="V282" i="1"/>
  <c r="Q282" i="2" s="1"/>
  <c r="V274" i="1"/>
  <c r="Q274" i="2" s="1"/>
  <c r="V266" i="1"/>
  <c r="Q266" i="2" s="1"/>
  <c r="V258" i="1"/>
  <c r="Q258" i="2" s="1"/>
  <c r="V250" i="1"/>
  <c r="Q250" i="2" s="1"/>
  <c r="V242" i="1"/>
  <c r="Q242" i="2" s="1"/>
  <c r="V234" i="1"/>
  <c r="Q234" i="2" s="1"/>
  <c r="V226" i="1"/>
  <c r="Q226" i="2" s="1"/>
  <c r="V218" i="1"/>
  <c r="Q218" i="2" s="1"/>
  <c r="V210" i="1"/>
  <c r="Q210" i="2" s="1"/>
  <c r="V202" i="1"/>
  <c r="Q202" i="2" s="1"/>
  <c r="V194" i="1"/>
  <c r="Q194" i="2" s="1"/>
  <c r="V186" i="1"/>
  <c r="Q186" i="2" s="1"/>
  <c r="V178" i="1"/>
  <c r="Q178" i="2" s="1"/>
  <c r="V170" i="1"/>
  <c r="Q170" i="2" s="1"/>
  <c r="V162" i="1"/>
  <c r="Q162" i="2" s="1"/>
  <c r="V154" i="1"/>
  <c r="Q154" i="2" s="1"/>
  <c r="V146" i="1"/>
  <c r="Q146" i="2" s="1"/>
  <c r="V138" i="1"/>
  <c r="Q138" i="2" s="1"/>
  <c r="V130" i="1"/>
  <c r="Q130" i="2" s="1"/>
  <c r="V122" i="1"/>
  <c r="Q122" i="2" s="1"/>
  <c r="V114" i="1"/>
  <c r="Q114" i="2" s="1"/>
  <c r="V106" i="1"/>
  <c r="Q106" i="2" s="1"/>
  <c r="V98" i="1"/>
  <c r="Q98" i="2" s="1"/>
  <c r="V90" i="1"/>
  <c r="Q90" i="2" s="1"/>
  <c r="V82" i="1"/>
  <c r="Q82" i="2" s="1"/>
  <c r="V74" i="1"/>
  <c r="Q74" i="2" s="1"/>
  <c r="V66" i="1"/>
  <c r="Q66" i="2" s="1"/>
  <c r="V58" i="1"/>
  <c r="Q58" i="2" s="1"/>
  <c r="V50" i="1"/>
  <c r="Q50" i="2" s="1"/>
  <c r="V42" i="1"/>
  <c r="Q42" i="2" s="1"/>
  <c r="V34" i="1"/>
  <c r="Q34" i="2" s="1"/>
  <c r="V26" i="1"/>
  <c r="Q26" i="2" s="1"/>
  <c r="V18" i="1"/>
  <c r="Q18" i="2" s="1"/>
  <c r="V10" i="1"/>
  <c r="Q10" i="2" s="1"/>
  <c r="Y2" i="1"/>
  <c r="V291" i="1"/>
  <c r="Q291" i="2" s="1"/>
  <c r="V275" i="1"/>
  <c r="Q275" i="2" s="1"/>
  <c r="V259" i="1"/>
  <c r="Q259" i="2" s="1"/>
  <c r="V243" i="1"/>
  <c r="Q243" i="2" s="1"/>
  <c r="V227" i="1"/>
  <c r="Q227" i="2" s="1"/>
  <c r="V211" i="1"/>
  <c r="Q211" i="2" s="1"/>
  <c r="V195" i="1"/>
  <c r="Q195" i="2" s="1"/>
  <c r="V163" i="1"/>
  <c r="Q163" i="2" s="1"/>
  <c r="V155" i="1"/>
  <c r="Q155" i="2" s="1"/>
  <c r="V139" i="1"/>
  <c r="Q139" i="2" s="1"/>
  <c r="V123" i="1"/>
  <c r="Q123" i="2" s="1"/>
  <c r="V107" i="1"/>
  <c r="Q107" i="2" s="1"/>
  <c r="V91" i="1"/>
  <c r="Q91" i="2" s="1"/>
  <c r="V75" i="1"/>
  <c r="Q75" i="2" s="1"/>
  <c r="V59" i="1"/>
  <c r="Q59" i="2" s="1"/>
  <c r="V35" i="1"/>
  <c r="Q35" i="2" s="1"/>
  <c r="V19" i="1"/>
  <c r="Q19" i="2" s="1"/>
  <c r="V11" i="1"/>
  <c r="Q11" i="2" s="1"/>
  <c r="V297" i="1"/>
  <c r="Q297" i="2" s="1"/>
  <c r="V289" i="1"/>
  <c r="Q289" i="2" s="1"/>
  <c r="V281" i="1"/>
  <c r="Q281" i="2" s="1"/>
  <c r="V273" i="1"/>
  <c r="Q273" i="2" s="1"/>
  <c r="V265" i="1"/>
  <c r="Q265" i="2" s="1"/>
  <c r="V257" i="1"/>
  <c r="Q257" i="2" s="1"/>
  <c r="V249" i="1"/>
  <c r="Q249" i="2" s="1"/>
  <c r="V241" i="1"/>
  <c r="Q241" i="2" s="1"/>
  <c r="V233" i="1"/>
  <c r="Q233" i="2" s="1"/>
  <c r="V225" i="1"/>
  <c r="Q225" i="2" s="1"/>
  <c r="V217" i="1"/>
  <c r="Q217" i="2" s="1"/>
  <c r="V209" i="1"/>
  <c r="Q209" i="2" s="1"/>
  <c r="V201" i="1"/>
  <c r="Q201" i="2" s="1"/>
  <c r="V193" i="1"/>
  <c r="Q193" i="2" s="1"/>
  <c r="V185" i="1"/>
  <c r="Q185" i="2" s="1"/>
  <c r="V177" i="1"/>
  <c r="Q177" i="2" s="1"/>
  <c r="V169" i="1"/>
  <c r="Q169" i="2" s="1"/>
  <c r="V161" i="1"/>
  <c r="Q161" i="2" s="1"/>
  <c r="V153" i="1"/>
  <c r="Q153" i="2" s="1"/>
  <c r="V145" i="1"/>
  <c r="Q145" i="2" s="1"/>
  <c r="V137" i="1"/>
  <c r="Q137" i="2" s="1"/>
  <c r="V129" i="1"/>
  <c r="Q129" i="2" s="1"/>
  <c r="V121" i="1"/>
  <c r="Q121" i="2" s="1"/>
  <c r="V113" i="1"/>
  <c r="Q113" i="2" s="1"/>
  <c r="V105" i="1"/>
  <c r="Q105" i="2" s="1"/>
  <c r="V97" i="1"/>
  <c r="Q97" i="2" s="1"/>
  <c r="V89" i="1"/>
  <c r="Q89" i="2" s="1"/>
  <c r="V81" i="1"/>
  <c r="Q81" i="2" s="1"/>
  <c r="V73" i="1"/>
  <c r="Q73" i="2" s="1"/>
  <c r="V65" i="1"/>
  <c r="Q65" i="2" s="1"/>
  <c r="V57" i="1"/>
  <c r="Q57" i="2" s="1"/>
  <c r="V49" i="1"/>
  <c r="Q49" i="2" s="1"/>
  <c r="V41" i="1"/>
  <c r="Q41" i="2" s="1"/>
  <c r="V33" i="1"/>
  <c r="Q33" i="2" s="1"/>
  <c r="V25" i="1"/>
  <c r="Q25" i="2" s="1"/>
  <c r="V17" i="1"/>
  <c r="Q17" i="2" s="1"/>
  <c r="V9" i="1"/>
  <c r="Q9" i="2" s="1"/>
  <c r="V296" i="1"/>
  <c r="Q296" i="2" s="1"/>
  <c r="V288" i="1"/>
  <c r="Q288" i="2" s="1"/>
  <c r="V280" i="1"/>
  <c r="Q280" i="2" s="1"/>
  <c r="V272" i="1"/>
  <c r="Q272" i="2" s="1"/>
  <c r="V264" i="1"/>
  <c r="Q264" i="2" s="1"/>
  <c r="V256" i="1"/>
  <c r="Q256" i="2" s="1"/>
  <c r="V248" i="1"/>
  <c r="Q248" i="2" s="1"/>
  <c r="V240" i="1"/>
  <c r="Q240" i="2" s="1"/>
  <c r="V232" i="1"/>
  <c r="Q232" i="2" s="1"/>
  <c r="V224" i="1"/>
  <c r="Q224" i="2" s="1"/>
  <c r="V216" i="1"/>
  <c r="Q216" i="2" s="1"/>
  <c r="V208" i="1"/>
  <c r="Q208" i="2" s="1"/>
  <c r="V200" i="1"/>
  <c r="Q200" i="2" s="1"/>
  <c r="V192" i="1"/>
  <c r="Q192" i="2" s="1"/>
  <c r="V184" i="1"/>
  <c r="Q184" i="2" s="1"/>
  <c r="V176" i="1"/>
  <c r="Q176" i="2" s="1"/>
  <c r="V168" i="1"/>
  <c r="Q168" i="2" s="1"/>
  <c r="V160" i="1"/>
  <c r="Q160" i="2" s="1"/>
  <c r="V152" i="1"/>
  <c r="Q152" i="2" s="1"/>
  <c r="V144" i="1"/>
  <c r="Q144" i="2" s="1"/>
  <c r="V136" i="1"/>
  <c r="Q136" i="2" s="1"/>
  <c r="V128" i="1"/>
  <c r="Q128" i="2" s="1"/>
  <c r="V120" i="1"/>
  <c r="Q120" i="2" s="1"/>
  <c r="V112" i="1"/>
  <c r="Q112" i="2" s="1"/>
  <c r="V104" i="1"/>
  <c r="Q104" i="2" s="1"/>
  <c r="V96" i="1"/>
  <c r="Q96" i="2" s="1"/>
  <c r="V88" i="1"/>
  <c r="Q88" i="2" s="1"/>
  <c r="V80" i="1"/>
  <c r="Q80" i="2" s="1"/>
  <c r="V72" i="1"/>
  <c r="Q72" i="2" s="1"/>
  <c r="V64" i="1"/>
  <c r="Q64" i="2" s="1"/>
  <c r="V56" i="1"/>
  <c r="Q56" i="2" s="1"/>
  <c r="V48" i="1"/>
  <c r="Q48" i="2" s="1"/>
  <c r="V40" i="1"/>
  <c r="Q40" i="2" s="1"/>
  <c r="V32" i="1"/>
  <c r="Q32" i="2" s="1"/>
  <c r="V24" i="1"/>
  <c r="Q24" i="2" s="1"/>
  <c r="V16" i="1"/>
  <c r="Q16" i="2" s="1"/>
  <c r="V8" i="1"/>
  <c r="Q8" i="2" s="1"/>
  <c r="V295" i="1"/>
  <c r="Q295" i="2" s="1"/>
  <c r="V287" i="1"/>
  <c r="Q287" i="2" s="1"/>
  <c r="V279" i="1"/>
  <c r="Q279" i="2" s="1"/>
  <c r="V271" i="1"/>
  <c r="Q271" i="2" s="1"/>
  <c r="V263" i="1"/>
  <c r="Q263" i="2" s="1"/>
  <c r="V255" i="1"/>
  <c r="Q255" i="2" s="1"/>
  <c r="V247" i="1"/>
  <c r="Q247" i="2" s="1"/>
  <c r="V239" i="1"/>
  <c r="Q239" i="2" s="1"/>
  <c r="V231" i="1"/>
  <c r="Q231" i="2" s="1"/>
  <c r="V223" i="1"/>
  <c r="Q223" i="2" s="1"/>
  <c r="V215" i="1"/>
  <c r="Q215" i="2" s="1"/>
  <c r="V207" i="1"/>
  <c r="Q207" i="2" s="1"/>
  <c r="V199" i="1"/>
  <c r="Q199" i="2" s="1"/>
  <c r="V191" i="1"/>
  <c r="Q191" i="2" s="1"/>
  <c r="V183" i="1"/>
  <c r="Q183" i="2" s="1"/>
  <c r="V175" i="1"/>
  <c r="Q175" i="2" s="1"/>
  <c r="V167" i="1"/>
  <c r="Q167" i="2" s="1"/>
  <c r="V159" i="1"/>
  <c r="Q159" i="2" s="1"/>
  <c r="V151" i="1"/>
  <c r="Q151" i="2" s="1"/>
  <c r="V143" i="1"/>
  <c r="Q143" i="2" s="1"/>
  <c r="V135" i="1"/>
  <c r="Q135" i="2" s="1"/>
  <c r="V127" i="1"/>
  <c r="Q127" i="2" s="1"/>
  <c r="V119" i="1"/>
  <c r="Q119" i="2" s="1"/>
  <c r="V111" i="1"/>
  <c r="Q111" i="2" s="1"/>
  <c r="V103" i="1"/>
  <c r="Q103" i="2" s="1"/>
  <c r="V95" i="1"/>
  <c r="Q95" i="2" s="1"/>
  <c r="V87" i="1"/>
  <c r="Q87" i="2" s="1"/>
  <c r="V79" i="1"/>
  <c r="Q79" i="2" s="1"/>
  <c r="V71" i="1"/>
  <c r="Q71" i="2" s="1"/>
  <c r="V63" i="1"/>
  <c r="Q63" i="2" s="1"/>
  <c r="V55" i="1"/>
  <c r="Q55" i="2" s="1"/>
  <c r="V47" i="1"/>
  <c r="Q47" i="2" s="1"/>
  <c r="V39" i="1"/>
  <c r="Q39" i="2" s="1"/>
  <c r="V31" i="1"/>
  <c r="Q31" i="2" s="1"/>
  <c r="V23" i="1"/>
  <c r="Q23" i="2" s="1"/>
  <c r="V15" i="1"/>
  <c r="Q15" i="2" s="1"/>
  <c r="V7" i="1"/>
  <c r="Q7" i="2" s="1"/>
  <c r="V2" i="1"/>
  <c r="Q2" i="2" s="1"/>
  <c r="V294" i="1"/>
  <c r="Q294" i="2" s="1"/>
  <c r="V286" i="1"/>
  <c r="Q286" i="2" s="1"/>
  <c r="V278" i="1"/>
  <c r="Q278" i="2" s="1"/>
  <c r="V270" i="1"/>
  <c r="Q270" i="2" s="1"/>
  <c r="V262" i="1"/>
  <c r="Q262" i="2" s="1"/>
  <c r="V254" i="1"/>
  <c r="Q254" i="2" s="1"/>
  <c r="V246" i="1"/>
  <c r="Q246" i="2" s="1"/>
  <c r="V238" i="1"/>
  <c r="Q238" i="2" s="1"/>
  <c r="V230" i="1"/>
  <c r="Q230" i="2" s="1"/>
  <c r="V222" i="1"/>
  <c r="Q222" i="2" s="1"/>
  <c r="V214" i="1"/>
  <c r="Q214" i="2" s="1"/>
  <c r="V206" i="1"/>
  <c r="Q206" i="2" s="1"/>
  <c r="V198" i="1"/>
  <c r="Q198" i="2" s="1"/>
  <c r="V190" i="1"/>
  <c r="Q190" i="2" s="1"/>
  <c r="V182" i="1"/>
  <c r="Q182" i="2" s="1"/>
  <c r="V174" i="1"/>
  <c r="Q174" i="2" s="1"/>
  <c r="V166" i="1"/>
  <c r="Q166" i="2" s="1"/>
  <c r="V158" i="1"/>
  <c r="Q158" i="2" s="1"/>
  <c r="V150" i="1"/>
  <c r="Q150" i="2" s="1"/>
  <c r="V142" i="1"/>
  <c r="Q142" i="2" s="1"/>
  <c r="V134" i="1"/>
  <c r="Q134" i="2" s="1"/>
  <c r="V126" i="1"/>
  <c r="Q126" i="2" s="1"/>
  <c r="V118" i="1"/>
  <c r="Q118" i="2" s="1"/>
  <c r="V110" i="1"/>
  <c r="Q110" i="2" s="1"/>
  <c r="V102" i="1"/>
  <c r="Q102" i="2" s="1"/>
  <c r="V94" i="1"/>
  <c r="Q94" i="2" s="1"/>
  <c r="V86" i="1"/>
  <c r="Q86" i="2" s="1"/>
  <c r="V78" i="1"/>
  <c r="Q78" i="2" s="1"/>
  <c r="V70" i="1"/>
  <c r="Q70" i="2" s="1"/>
  <c r="V62" i="1"/>
  <c r="Q62" i="2" s="1"/>
  <c r="V54" i="1"/>
  <c r="Q54" i="2" s="1"/>
  <c r="V46" i="1"/>
  <c r="Q46" i="2" s="1"/>
  <c r="V38" i="1"/>
  <c r="Q38" i="2" s="1"/>
  <c r="V30" i="1"/>
  <c r="Q30" i="2" s="1"/>
  <c r="V22" i="1"/>
  <c r="Q22" i="2" s="1"/>
  <c r="V14" i="1"/>
  <c r="Q14" i="2" s="1"/>
  <c r="V6" i="1"/>
  <c r="Q6" i="2" s="1"/>
  <c r="V301" i="1"/>
  <c r="Q301" i="2" s="1"/>
  <c r="V293" i="1"/>
  <c r="Q293" i="2" s="1"/>
  <c r="V285" i="1"/>
  <c r="Q285" i="2" s="1"/>
  <c r="V277" i="1"/>
  <c r="Q277" i="2" s="1"/>
  <c r="V269" i="1"/>
  <c r="Q269" i="2" s="1"/>
  <c r="V261" i="1"/>
  <c r="Q261" i="2" s="1"/>
  <c r="V253" i="1"/>
  <c r="Q253" i="2" s="1"/>
  <c r="V245" i="1"/>
  <c r="Q245" i="2" s="1"/>
  <c r="V237" i="1"/>
  <c r="Q237" i="2" s="1"/>
  <c r="V229" i="1"/>
  <c r="Q229" i="2" s="1"/>
  <c r="V221" i="1"/>
  <c r="Q221" i="2" s="1"/>
  <c r="V213" i="1"/>
  <c r="Q213" i="2" s="1"/>
  <c r="V205" i="1"/>
  <c r="Q205" i="2" s="1"/>
  <c r="V197" i="1"/>
  <c r="Q197" i="2" s="1"/>
  <c r="V189" i="1"/>
  <c r="Q189" i="2" s="1"/>
  <c r="V181" i="1"/>
  <c r="Q181" i="2" s="1"/>
  <c r="V173" i="1"/>
  <c r="Q173" i="2" s="1"/>
  <c r="V165" i="1"/>
  <c r="Q165" i="2" s="1"/>
  <c r="V157" i="1"/>
  <c r="Q157" i="2" s="1"/>
  <c r="V149" i="1"/>
  <c r="Q149" i="2" s="1"/>
  <c r="V141" i="1"/>
  <c r="Q141" i="2" s="1"/>
  <c r="V133" i="1"/>
  <c r="Q133" i="2" s="1"/>
  <c r="V125" i="1"/>
  <c r="Q125" i="2" s="1"/>
  <c r="V117" i="1"/>
  <c r="Q117" i="2" s="1"/>
  <c r="V109" i="1"/>
  <c r="Q109" i="2" s="1"/>
  <c r="V101" i="1"/>
  <c r="Q101" i="2" s="1"/>
  <c r="V93" i="1"/>
  <c r="Q93" i="2" s="1"/>
  <c r="V85" i="1"/>
  <c r="Q85" i="2" s="1"/>
  <c r="V77" i="1"/>
  <c r="Q77" i="2" s="1"/>
  <c r="V69" i="1"/>
  <c r="Q69" i="2" s="1"/>
  <c r="V61" i="1"/>
  <c r="Q61" i="2" s="1"/>
  <c r="V53" i="1"/>
  <c r="Q53" i="2" s="1"/>
  <c r="V45" i="1"/>
  <c r="Q45" i="2" s="1"/>
  <c r="V37" i="1"/>
  <c r="Q37" i="2" s="1"/>
  <c r="V29" i="1"/>
  <c r="Q29" i="2" s="1"/>
  <c r="V21" i="1"/>
  <c r="Q21" i="2" s="1"/>
  <c r="V13" i="1"/>
  <c r="Q13" i="2" s="1"/>
  <c r="V5" i="1"/>
  <c r="Q5" i="2" s="1"/>
  <c r="V300" i="1"/>
  <c r="Q300" i="2" s="1"/>
  <c r="V292" i="1"/>
  <c r="Q292" i="2" s="1"/>
  <c r="V284" i="1"/>
  <c r="Q284" i="2" s="1"/>
  <c r="V276" i="1"/>
  <c r="Q276" i="2" s="1"/>
  <c r="V268" i="1"/>
  <c r="Q268" i="2" s="1"/>
  <c r="V260" i="1"/>
  <c r="Q260" i="2" s="1"/>
  <c r="V252" i="1"/>
  <c r="Q252" i="2" s="1"/>
  <c r="V244" i="1"/>
  <c r="Q244" i="2" s="1"/>
  <c r="V236" i="1"/>
  <c r="Q236" i="2" s="1"/>
  <c r="V228" i="1"/>
  <c r="Q228" i="2" s="1"/>
  <c r="V220" i="1"/>
  <c r="Q220" i="2" s="1"/>
  <c r="V212" i="1"/>
  <c r="Q212" i="2" s="1"/>
  <c r="V204" i="1"/>
  <c r="Q204" i="2" s="1"/>
  <c r="V196" i="1"/>
  <c r="Q196" i="2" s="1"/>
  <c r="V188" i="1"/>
  <c r="Q188" i="2" s="1"/>
  <c r="V180" i="1"/>
  <c r="Q180" i="2" s="1"/>
  <c r="V172" i="1"/>
  <c r="Q172" i="2" s="1"/>
  <c r="V164" i="1"/>
  <c r="Q164" i="2" s="1"/>
  <c r="V156" i="1"/>
  <c r="Q156" i="2" s="1"/>
  <c r="V148" i="1"/>
  <c r="Q148" i="2" s="1"/>
  <c r="V140" i="1"/>
  <c r="Q140" i="2" s="1"/>
  <c r="V132" i="1"/>
  <c r="Q132" i="2" s="1"/>
  <c r="V124" i="1"/>
  <c r="Q124" i="2" s="1"/>
  <c r="V116" i="1"/>
  <c r="Q116" i="2" s="1"/>
  <c r="V108" i="1"/>
  <c r="Q108" i="2" s="1"/>
  <c r="V100" i="1"/>
  <c r="Q100" i="2" s="1"/>
  <c r="V92" i="1"/>
  <c r="Q92" i="2" s="1"/>
  <c r="V84" i="1"/>
  <c r="Q84" i="2" s="1"/>
  <c r="V76" i="1"/>
  <c r="Q76" i="2" s="1"/>
  <c r="V68" i="1"/>
  <c r="Q68" i="2" s="1"/>
  <c r="V60" i="1"/>
  <c r="Q60" i="2" s="1"/>
  <c r="V52" i="1"/>
  <c r="Q52" i="2" s="1"/>
  <c r="V44" i="1"/>
  <c r="Q44" i="2" s="1"/>
  <c r="V36" i="1"/>
  <c r="Q36" i="2" s="1"/>
  <c r="V28" i="1"/>
  <c r="Q28" i="2" s="1"/>
  <c r="V20" i="1"/>
  <c r="Q20" i="2" s="1"/>
  <c r="V12" i="1"/>
  <c r="Q12" i="2" s="1"/>
  <c r="V4" i="1"/>
  <c r="Q4" i="2" s="1"/>
  <c r="W123" i="1"/>
  <c r="R123" i="2" s="1"/>
  <c r="W59" i="1"/>
  <c r="R59" i="2" s="1"/>
  <c r="X258" i="1"/>
  <c r="X266" i="1"/>
  <c r="X146" i="1"/>
  <c r="X138" i="1"/>
  <c r="X130" i="1"/>
  <c r="X90" i="1"/>
  <c r="X234" i="1"/>
  <c r="X66" i="1"/>
  <c r="X226" i="1"/>
  <c r="X58" i="1"/>
  <c r="W171" i="1"/>
  <c r="R171" i="2" s="1"/>
  <c r="X178" i="1"/>
  <c r="X50" i="1"/>
  <c r="W148" i="1"/>
  <c r="R148" i="2" s="1"/>
  <c r="X154" i="1"/>
  <c r="X26" i="1"/>
  <c r="W44" i="1"/>
  <c r="R44" i="2" s="1"/>
  <c r="X218" i="1"/>
  <c r="X111" i="1"/>
  <c r="X18" i="1"/>
  <c r="X239" i="1"/>
  <c r="W79" i="1"/>
  <c r="R79" i="2" s="1"/>
  <c r="W276" i="1"/>
  <c r="R276" i="2" s="1"/>
  <c r="X282" i="1"/>
  <c r="X194" i="1"/>
  <c r="X106" i="1"/>
  <c r="X10" i="1"/>
  <c r="W251" i="1"/>
  <c r="R251" i="2" s="1"/>
  <c r="X274" i="1"/>
  <c r="X186" i="1"/>
  <c r="X98" i="1"/>
  <c r="X143" i="1"/>
  <c r="X15" i="1"/>
  <c r="W212" i="1"/>
  <c r="R212" i="2" s="1"/>
  <c r="W108" i="1"/>
  <c r="R108" i="2" s="1"/>
  <c r="X298" i="1"/>
  <c r="X255" i="1"/>
  <c r="X210" i="1"/>
  <c r="X170" i="1"/>
  <c r="X127" i="1"/>
  <c r="X82" i="1"/>
  <c r="X42" i="1"/>
  <c r="W255" i="1"/>
  <c r="R255" i="2" s="1"/>
  <c r="X191" i="1"/>
  <c r="W237" i="1"/>
  <c r="R237" i="2" s="1"/>
  <c r="W39" i="1"/>
  <c r="R39" i="2" s="1"/>
  <c r="X95" i="1"/>
  <c r="W236" i="1"/>
  <c r="R236" i="2" s="1"/>
  <c r="W109" i="1"/>
  <c r="R109" i="2" s="1"/>
  <c r="X175" i="1"/>
  <c r="X47" i="1"/>
  <c r="W300" i="1"/>
  <c r="R300" i="2" s="1"/>
  <c r="W211" i="1"/>
  <c r="R211" i="2" s="1"/>
  <c r="W84" i="1"/>
  <c r="R84" i="2" s="1"/>
  <c r="X290" i="1"/>
  <c r="X250" i="1"/>
  <c r="X207" i="1"/>
  <c r="X162" i="1"/>
  <c r="X122" i="1"/>
  <c r="X79" i="1"/>
  <c r="X34" i="1"/>
  <c r="X63" i="1"/>
  <c r="X271" i="1"/>
  <c r="W119" i="1"/>
  <c r="R119" i="2" s="1"/>
  <c r="X223" i="1"/>
  <c r="W31" i="1"/>
  <c r="R31" i="2" s="1"/>
  <c r="W299" i="1"/>
  <c r="R299" i="2" s="1"/>
  <c r="W172" i="1"/>
  <c r="R172" i="2" s="1"/>
  <c r="W83" i="1"/>
  <c r="R83" i="2" s="1"/>
  <c r="X287" i="1"/>
  <c r="X242" i="1"/>
  <c r="X202" i="1"/>
  <c r="X159" i="1"/>
  <c r="X114" i="1"/>
  <c r="X74" i="1"/>
  <c r="X31" i="1"/>
  <c r="W295" i="1"/>
  <c r="R295" i="2" s="1"/>
  <c r="W247" i="1"/>
  <c r="R247" i="2" s="1"/>
  <c r="W207" i="1"/>
  <c r="R207" i="2" s="1"/>
  <c r="W167" i="1"/>
  <c r="R167" i="2" s="1"/>
  <c r="W63" i="1"/>
  <c r="R63" i="2" s="1"/>
  <c r="W271" i="1"/>
  <c r="R271" i="2" s="1"/>
  <c r="W231" i="1"/>
  <c r="R231" i="2" s="1"/>
  <c r="W182" i="1"/>
  <c r="R182" i="2" s="1"/>
  <c r="W143" i="1"/>
  <c r="R143" i="2" s="1"/>
  <c r="W95" i="1"/>
  <c r="R95" i="2" s="1"/>
  <c r="W301" i="1"/>
  <c r="R301" i="2" s="1"/>
  <c r="W270" i="1"/>
  <c r="R270" i="2" s="1"/>
  <c r="W223" i="1"/>
  <c r="R223" i="2" s="1"/>
  <c r="W173" i="1"/>
  <c r="R173" i="2" s="1"/>
  <c r="W127" i="1"/>
  <c r="R127" i="2" s="1"/>
  <c r="W43" i="1"/>
  <c r="R43" i="2" s="1"/>
  <c r="X289" i="1"/>
  <c r="X273" i="1"/>
  <c r="X257" i="1"/>
  <c r="X241" i="1"/>
  <c r="X225" i="1"/>
  <c r="X209" i="1"/>
  <c r="X193" i="1"/>
  <c r="X177" i="1"/>
  <c r="X161" i="1"/>
  <c r="X145" i="1"/>
  <c r="X129" i="1"/>
  <c r="X113" i="1"/>
  <c r="X97" i="1"/>
  <c r="X81" i="1"/>
  <c r="X65" i="1"/>
  <c r="X49" i="1"/>
  <c r="X33" i="1"/>
  <c r="X17" i="1"/>
  <c r="X288" i="1"/>
  <c r="X272" i="1"/>
  <c r="X256" i="1"/>
  <c r="X240" i="1"/>
  <c r="X224" i="1"/>
  <c r="X208" i="1"/>
  <c r="X192" i="1"/>
  <c r="X176" i="1"/>
  <c r="X160" i="1"/>
  <c r="X144" i="1"/>
  <c r="X128" i="1"/>
  <c r="X112" i="1"/>
  <c r="X96" i="1"/>
  <c r="X80" i="1"/>
  <c r="X64" i="1"/>
  <c r="X48" i="1"/>
  <c r="X32" i="1"/>
  <c r="X16" i="1"/>
  <c r="W287" i="1"/>
  <c r="R287" i="2" s="1"/>
  <c r="W191" i="1"/>
  <c r="R191" i="2" s="1"/>
  <c r="W159" i="1"/>
  <c r="R159" i="2" s="1"/>
  <c r="X297" i="1"/>
  <c r="X281" i="1"/>
  <c r="X265" i="1"/>
  <c r="X249" i="1"/>
  <c r="X233" i="1"/>
  <c r="X217" i="1"/>
  <c r="X201" i="1"/>
  <c r="X185" i="1"/>
  <c r="X169" i="1"/>
  <c r="X153" i="1"/>
  <c r="X137" i="1"/>
  <c r="X121" i="1"/>
  <c r="X105" i="1"/>
  <c r="X89" i="1"/>
  <c r="X73" i="1"/>
  <c r="X57" i="1"/>
  <c r="X41" i="1"/>
  <c r="X25" i="1"/>
  <c r="X9" i="1"/>
  <c r="W187" i="1"/>
  <c r="R187" i="2" s="1"/>
  <c r="W107" i="1"/>
  <c r="R107" i="2" s="1"/>
  <c r="W55" i="1"/>
  <c r="R55" i="2" s="1"/>
  <c r="X296" i="1"/>
  <c r="X280" i="1"/>
  <c r="X264" i="1"/>
  <c r="X248" i="1"/>
  <c r="X232" i="1"/>
  <c r="X216" i="1"/>
  <c r="X200" i="1"/>
  <c r="X184" i="1"/>
  <c r="X168" i="1"/>
  <c r="X152" i="1"/>
  <c r="X136" i="1"/>
  <c r="X120" i="1"/>
  <c r="X104" i="1"/>
  <c r="X88" i="1"/>
  <c r="X72" i="1"/>
  <c r="X56" i="1"/>
  <c r="X40" i="1"/>
  <c r="X24" i="1"/>
  <c r="X8" i="1"/>
  <c r="W275" i="1"/>
  <c r="R275" i="2" s="1"/>
  <c r="W235" i="1"/>
  <c r="R235" i="2" s="1"/>
  <c r="W183" i="1"/>
  <c r="R183" i="2" s="1"/>
  <c r="W147" i="1"/>
  <c r="R147" i="2" s="1"/>
  <c r="W103" i="1"/>
  <c r="R103" i="2" s="1"/>
  <c r="W45" i="1"/>
  <c r="R45" i="2" s="1"/>
  <c r="X295" i="1"/>
  <c r="X279" i="1"/>
  <c r="X263" i="1"/>
  <c r="X247" i="1"/>
  <c r="X231" i="1"/>
  <c r="X215" i="1"/>
  <c r="X199" i="1"/>
  <c r="X183" i="1"/>
  <c r="X167" i="1"/>
  <c r="X151" i="1"/>
  <c r="X135" i="1"/>
  <c r="X119" i="1"/>
  <c r="X103" i="1"/>
  <c r="X87" i="1"/>
  <c r="X71" i="1"/>
  <c r="X55" i="1"/>
  <c r="X39" i="1"/>
  <c r="X23" i="1"/>
  <c r="X7" i="1"/>
  <c r="W262" i="1"/>
  <c r="R262" i="2" s="1"/>
  <c r="W70" i="1"/>
  <c r="R70" i="2" s="1"/>
  <c r="W133" i="1"/>
  <c r="R133" i="2" s="1"/>
  <c r="W222" i="1"/>
  <c r="R222" i="2" s="1"/>
  <c r="W158" i="1"/>
  <c r="R158" i="2" s="1"/>
  <c r="W30" i="1"/>
  <c r="R30" i="2" s="1"/>
  <c r="W285" i="1"/>
  <c r="R285" i="2" s="1"/>
  <c r="W260" i="1"/>
  <c r="R260" i="2" s="1"/>
  <c r="W246" i="1"/>
  <c r="R246" i="2" s="1"/>
  <c r="W132" i="1"/>
  <c r="R132" i="2" s="1"/>
  <c r="W68" i="1"/>
  <c r="R68" i="2" s="1"/>
  <c r="W29" i="1"/>
  <c r="R29" i="2" s="1"/>
  <c r="W198" i="1"/>
  <c r="R198" i="2" s="1"/>
  <c r="W134" i="1"/>
  <c r="R134" i="2" s="1"/>
  <c r="W286" i="1"/>
  <c r="R286" i="2" s="1"/>
  <c r="W261" i="1"/>
  <c r="R261" i="2" s="1"/>
  <c r="W197" i="1"/>
  <c r="R197" i="2" s="1"/>
  <c r="W94" i="1"/>
  <c r="R94" i="2" s="1"/>
  <c r="W69" i="1"/>
  <c r="R69" i="2" s="1"/>
  <c r="W221" i="1"/>
  <c r="R221" i="2" s="1"/>
  <c r="W196" i="1"/>
  <c r="R196" i="2" s="1"/>
  <c r="W118" i="1"/>
  <c r="R118" i="2" s="1"/>
  <c r="W157" i="1"/>
  <c r="R157" i="2" s="1"/>
  <c r="W93" i="1"/>
  <c r="R93" i="2" s="1"/>
  <c r="W54" i="1"/>
  <c r="R54" i="2" s="1"/>
  <c r="W284" i="1"/>
  <c r="R284" i="2" s="1"/>
  <c r="W220" i="1"/>
  <c r="R220" i="2" s="1"/>
  <c r="W206" i="1"/>
  <c r="R206" i="2" s="1"/>
  <c r="W195" i="1"/>
  <c r="R195" i="2" s="1"/>
  <c r="W181" i="1"/>
  <c r="R181" i="2" s="1"/>
  <c r="W156" i="1"/>
  <c r="R156" i="2" s="1"/>
  <c r="W92" i="1"/>
  <c r="R92" i="2" s="1"/>
  <c r="W78" i="1"/>
  <c r="R78" i="2" s="1"/>
  <c r="W67" i="1"/>
  <c r="R67" i="2" s="1"/>
  <c r="W53" i="1"/>
  <c r="R53" i="2" s="1"/>
  <c r="W28" i="1"/>
  <c r="R28" i="2" s="1"/>
  <c r="W294" i="1"/>
  <c r="R294" i="2" s="1"/>
  <c r="W27" i="1"/>
  <c r="R27" i="2" s="1"/>
  <c r="X278" i="1"/>
  <c r="X254" i="1"/>
  <c r="X230" i="1"/>
  <c r="X206" i="1"/>
  <c r="X182" i="1"/>
  <c r="X158" i="1"/>
  <c r="X134" i="1"/>
  <c r="X86" i="1"/>
  <c r="X6" i="1"/>
  <c r="W17" i="1"/>
  <c r="R17" i="2" s="1"/>
  <c r="W293" i="1"/>
  <c r="R293" i="2" s="1"/>
  <c r="W279" i="1"/>
  <c r="R279" i="2" s="1"/>
  <c r="W268" i="1"/>
  <c r="R268" i="2" s="1"/>
  <c r="W254" i="1"/>
  <c r="R254" i="2" s="1"/>
  <c r="W243" i="1"/>
  <c r="R243" i="2" s="1"/>
  <c r="W229" i="1"/>
  <c r="R229" i="2" s="1"/>
  <c r="W215" i="1"/>
  <c r="R215" i="2" s="1"/>
  <c r="W204" i="1"/>
  <c r="R204" i="2" s="1"/>
  <c r="W190" i="1"/>
  <c r="R190" i="2" s="1"/>
  <c r="W179" i="1"/>
  <c r="R179" i="2" s="1"/>
  <c r="W165" i="1"/>
  <c r="R165" i="2" s="1"/>
  <c r="W151" i="1"/>
  <c r="R151" i="2" s="1"/>
  <c r="W140" i="1"/>
  <c r="R140" i="2" s="1"/>
  <c r="W126" i="1"/>
  <c r="R126" i="2" s="1"/>
  <c r="W115" i="1"/>
  <c r="R115" i="2" s="1"/>
  <c r="W101" i="1"/>
  <c r="R101" i="2" s="1"/>
  <c r="W87" i="1"/>
  <c r="R87" i="2" s="1"/>
  <c r="W76" i="1"/>
  <c r="R76" i="2" s="1"/>
  <c r="W62" i="1"/>
  <c r="R62" i="2" s="1"/>
  <c r="W51" i="1"/>
  <c r="R51" i="2" s="1"/>
  <c r="W37" i="1"/>
  <c r="R37" i="2" s="1"/>
  <c r="X301" i="1"/>
  <c r="X293" i="1"/>
  <c r="X285" i="1"/>
  <c r="X277" i="1"/>
  <c r="X269"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5" i="1"/>
  <c r="W259" i="1"/>
  <c r="R259" i="2" s="1"/>
  <c r="W245" i="1"/>
  <c r="R245" i="2" s="1"/>
  <c r="W142" i="1"/>
  <c r="R142" i="2" s="1"/>
  <c r="W131" i="1"/>
  <c r="R131" i="2" s="1"/>
  <c r="W117" i="1"/>
  <c r="R117" i="2" s="1"/>
  <c r="W18" i="1"/>
  <c r="R18" i="2" s="1"/>
  <c r="W283" i="1"/>
  <c r="R283" i="2" s="1"/>
  <c r="W269" i="1"/>
  <c r="R269" i="2" s="1"/>
  <c r="W230" i="1"/>
  <c r="R230" i="2" s="1"/>
  <c r="W102" i="1"/>
  <c r="R102" i="2" s="1"/>
  <c r="W91" i="1"/>
  <c r="R91" i="2" s="1"/>
  <c r="W52" i="1"/>
  <c r="R52" i="2" s="1"/>
  <c r="X294" i="1"/>
  <c r="X270" i="1"/>
  <c r="X246" i="1"/>
  <c r="X222" i="1"/>
  <c r="X198" i="1"/>
  <c r="X174" i="1"/>
  <c r="X150" i="1"/>
  <c r="X118" i="1"/>
  <c r="X102" i="1"/>
  <c r="X78" i="1"/>
  <c r="X62" i="1"/>
  <c r="X46" i="1"/>
  <c r="X14" i="1"/>
  <c r="W7" i="1"/>
  <c r="R7" i="2" s="1"/>
  <c r="W292" i="1"/>
  <c r="R292" i="2" s="1"/>
  <c r="W278" i="1"/>
  <c r="R278" i="2" s="1"/>
  <c r="W267" i="1"/>
  <c r="R267" i="2" s="1"/>
  <c r="W253" i="1"/>
  <c r="R253" i="2" s="1"/>
  <c r="W239" i="1"/>
  <c r="R239" i="2" s="1"/>
  <c r="W228" i="1"/>
  <c r="R228" i="2" s="1"/>
  <c r="W214" i="1"/>
  <c r="R214" i="2" s="1"/>
  <c r="W203" i="1"/>
  <c r="R203" i="2" s="1"/>
  <c r="W189" i="1"/>
  <c r="R189" i="2" s="1"/>
  <c r="W175" i="1"/>
  <c r="R175" i="2" s="1"/>
  <c r="W164" i="1"/>
  <c r="R164" i="2" s="1"/>
  <c r="W150" i="1"/>
  <c r="R150" i="2" s="1"/>
  <c r="W139" i="1"/>
  <c r="R139" i="2" s="1"/>
  <c r="W125" i="1"/>
  <c r="R125" i="2" s="1"/>
  <c r="W111" i="1"/>
  <c r="R111" i="2" s="1"/>
  <c r="W100" i="1"/>
  <c r="R100" i="2" s="1"/>
  <c r="W86" i="1"/>
  <c r="R86" i="2" s="1"/>
  <c r="W75" i="1"/>
  <c r="R75" i="2" s="1"/>
  <c r="W61" i="1"/>
  <c r="R61" i="2" s="1"/>
  <c r="W47" i="1"/>
  <c r="R47" i="2" s="1"/>
  <c r="W36" i="1"/>
  <c r="R36" i="2" s="1"/>
  <c r="X300" i="1"/>
  <c r="X292" i="1"/>
  <c r="X284" i="1"/>
  <c r="X276" i="1"/>
  <c r="X268" i="1"/>
  <c r="X260" i="1"/>
  <c r="X252" i="1"/>
  <c r="X244" i="1"/>
  <c r="X236" i="1"/>
  <c r="X228" i="1"/>
  <c r="X220" i="1"/>
  <c r="X212" i="1"/>
  <c r="X204" i="1"/>
  <c r="X196" i="1"/>
  <c r="X188" i="1"/>
  <c r="X180" i="1"/>
  <c r="X172" i="1"/>
  <c r="X164" i="1"/>
  <c r="X156" i="1"/>
  <c r="X148" i="1"/>
  <c r="X140" i="1"/>
  <c r="X132" i="1"/>
  <c r="X124" i="1"/>
  <c r="X116" i="1"/>
  <c r="X108" i="1"/>
  <c r="X100" i="1"/>
  <c r="X92" i="1"/>
  <c r="X84" i="1"/>
  <c r="X76" i="1"/>
  <c r="X68" i="1"/>
  <c r="X60" i="1"/>
  <c r="X52" i="1"/>
  <c r="X44" i="1"/>
  <c r="X36" i="1"/>
  <c r="X28" i="1"/>
  <c r="X20" i="1"/>
  <c r="X12" i="1"/>
  <c r="X4" i="1"/>
  <c r="W244" i="1"/>
  <c r="R244" i="2" s="1"/>
  <c r="W219" i="1"/>
  <c r="R219" i="2" s="1"/>
  <c r="W205" i="1"/>
  <c r="R205" i="2" s="1"/>
  <c r="W180" i="1"/>
  <c r="R180" i="2" s="1"/>
  <c r="W166" i="1"/>
  <c r="R166" i="2" s="1"/>
  <c r="W155" i="1"/>
  <c r="R155" i="2" s="1"/>
  <c r="W141" i="1"/>
  <c r="R141" i="2" s="1"/>
  <c r="W116" i="1"/>
  <c r="R116" i="2" s="1"/>
  <c r="W77" i="1"/>
  <c r="R77" i="2" s="1"/>
  <c r="W38" i="1"/>
  <c r="R38" i="2" s="1"/>
  <c r="X286" i="1"/>
  <c r="X262" i="1"/>
  <c r="X238" i="1"/>
  <c r="X214" i="1"/>
  <c r="X190" i="1"/>
  <c r="X166" i="1"/>
  <c r="X142" i="1"/>
  <c r="X126" i="1"/>
  <c r="X110" i="1"/>
  <c r="X94" i="1"/>
  <c r="X70" i="1"/>
  <c r="X54" i="1"/>
  <c r="X38" i="1"/>
  <c r="X30" i="1"/>
  <c r="X22" i="1"/>
  <c r="W6" i="1"/>
  <c r="R6" i="2" s="1"/>
  <c r="W291" i="1"/>
  <c r="R291" i="2" s="1"/>
  <c r="W277" i="1"/>
  <c r="R277" i="2" s="1"/>
  <c r="W263" i="1"/>
  <c r="R263" i="2" s="1"/>
  <c r="W252" i="1"/>
  <c r="R252" i="2" s="1"/>
  <c r="W238" i="1"/>
  <c r="R238" i="2" s="1"/>
  <c r="W227" i="1"/>
  <c r="R227" i="2" s="1"/>
  <c r="W213" i="1"/>
  <c r="R213" i="2" s="1"/>
  <c r="W199" i="1"/>
  <c r="R199" i="2" s="1"/>
  <c r="W188" i="1"/>
  <c r="R188" i="2" s="1"/>
  <c r="W174" i="1"/>
  <c r="R174" i="2" s="1"/>
  <c r="W163" i="1"/>
  <c r="R163" i="2" s="1"/>
  <c r="W149" i="1"/>
  <c r="R149" i="2" s="1"/>
  <c r="W135" i="1"/>
  <c r="R135" i="2" s="1"/>
  <c r="W124" i="1"/>
  <c r="R124" i="2" s="1"/>
  <c r="W110" i="1"/>
  <c r="R110" i="2" s="1"/>
  <c r="W99" i="1"/>
  <c r="R99" i="2" s="1"/>
  <c r="W85" i="1"/>
  <c r="R85" i="2" s="1"/>
  <c r="W71" i="1"/>
  <c r="R71" i="2" s="1"/>
  <c r="W60" i="1"/>
  <c r="R60" i="2" s="1"/>
  <c r="W46" i="1"/>
  <c r="R46" i="2" s="1"/>
  <c r="W35" i="1"/>
  <c r="R35" i="2" s="1"/>
  <c r="X299" i="1"/>
  <c r="X291" i="1"/>
  <c r="X283" i="1"/>
  <c r="X275" i="1"/>
  <c r="X267"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 i="1"/>
  <c r="W10" i="1"/>
  <c r="R10" i="2" s="1"/>
  <c r="W298" i="1"/>
  <c r="R298" i="2" s="1"/>
  <c r="W290" i="1"/>
  <c r="R290" i="2" s="1"/>
  <c r="W282" i="1"/>
  <c r="R282" i="2" s="1"/>
  <c r="W274" i="1"/>
  <c r="R274" i="2" s="1"/>
  <c r="W266" i="1"/>
  <c r="R266" i="2" s="1"/>
  <c r="W258" i="1"/>
  <c r="R258" i="2" s="1"/>
  <c r="W250" i="1"/>
  <c r="R250" i="2" s="1"/>
  <c r="W242" i="1"/>
  <c r="R242" i="2" s="1"/>
  <c r="W234" i="1"/>
  <c r="R234" i="2" s="1"/>
  <c r="W226" i="1"/>
  <c r="R226" i="2" s="1"/>
  <c r="W218" i="1"/>
  <c r="R218" i="2" s="1"/>
  <c r="W210" i="1"/>
  <c r="R210" i="2" s="1"/>
  <c r="W202" i="1"/>
  <c r="R202" i="2" s="1"/>
  <c r="W194" i="1"/>
  <c r="R194" i="2" s="1"/>
  <c r="W186" i="1"/>
  <c r="R186" i="2" s="1"/>
  <c r="W178" i="1"/>
  <c r="R178" i="2" s="1"/>
  <c r="W170" i="1"/>
  <c r="R170" i="2" s="1"/>
  <c r="W162" i="1"/>
  <c r="R162" i="2" s="1"/>
  <c r="W154" i="1"/>
  <c r="R154" i="2" s="1"/>
  <c r="W146" i="1"/>
  <c r="R146" i="2" s="1"/>
  <c r="W138" i="1"/>
  <c r="R138" i="2" s="1"/>
  <c r="W130" i="1"/>
  <c r="R130" i="2" s="1"/>
  <c r="W122" i="1"/>
  <c r="R122" i="2" s="1"/>
  <c r="W114" i="1"/>
  <c r="R114" i="2" s="1"/>
  <c r="W106" i="1"/>
  <c r="R106" i="2" s="1"/>
  <c r="W98" i="1"/>
  <c r="R98" i="2" s="1"/>
  <c r="W90" i="1"/>
  <c r="R90" i="2" s="1"/>
  <c r="W82" i="1"/>
  <c r="R82" i="2" s="1"/>
  <c r="W74" i="1"/>
  <c r="R74" i="2" s="1"/>
  <c r="W66" i="1"/>
  <c r="R66" i="2" s="1"/>
  <c r="W58" i="1"/>
  <c r="R58" i="2" s="1"/>
  <c r="W50" i="1"/>
  <c r="R50" i="2" s="1"/>
  <c r="W42" i="1"/>
  <c r="R42" i="2" s="1"/>
  <c r="W34" i="1"/>
  <c r="R34" i="2" s="1"/>
  <c r="W26" i="1"/>
  <c r="R26" i="2" s="1"/>
  <c r="W16" i="1"/>
  <c r="R16" i="2" s="1"/>
  <c r="W15" i="1"/>
  <c r="R15" i="2" s="1"/>
  <c r="W14" i="1"/>
  <c r="R14" i="2" s="1"/>
  <c r="W23" i="1"/>
  <c r="R23" i="2" s="1"/>
  <c r="W9" i="1"/>
  <c r="R9" i="2" s="1"/>
  <c r="W297" i="1"/>
  <c r="R297" i="2" s="1"/>
  <c r="W289" i="1"/>
  <c r="R289" i="2" s="1"/>
  <c r="W281" i="1"/>
  <c r="R281" i="2" s="1"/>
  <c r="W273" i="1"/>
  <c r="R273" i="2" s="1"/>
  <c r="W265" i="1"/>
  <c r="R265" i="2" s="1"/>
  <c r="W257" i="1"/>
  <c r="R257" i="2" s="1"/>
  <c r="W249" i="1"/>
  <c r="R249" i="2" s="1"/>
  <c r="W241" i="1"/>
  <c r="R241" i="2" s="1"/>
  <c r="W233" i="1"/>
  <c r="R233" i="2" s="1"/>
  <c r="W225" i="1"/>
  <c r="R225" i="2" s="1"/>
  <c r="W217" i="1"/>
  <c r="R217" i="2" s="1"/>
  <c r="W209" i="1"/>
  <c r="R209" i="2" s="1"/>
  <c r="W201" i="1"/>
  <c r="R201" i="2" s="1"/>
  <c r="W193" i="1"/>
  <c r="R193" i="2" s="1"/>
  <c r="W185" i="1"/>
  <c r="R185" i="2" s="1"/>
  <c r="W177" i="1"/>
  <c r="R177" i="2" s="1"/>
  <c r="W169" i="1"/>
  <c r="R169" i="2" s="1"/>
  <c r="W161" i="1"/>
  <c r="R161" i="2" s="1"/>
  <c r="W153" i="1"/>
  <c r="R153" i="2" s="1"/>
  <c r="W145" i="1"/>
  <c r="R145" i="2" s="1"/>
  <c r="W137" i="1"/>
  <c r="R137" i="2" s="1"/>
  <c r="W129" i="1"/>
  <c r="R129" i="2" s="1"/>
  <c r="W121" i="1"/>
  <c r="R121" i="2" s="1"/>
  <c r="W113" i="1"/>
  <c r="R113" i="2" s="1"/>
  <c r="W105" i="1"/>
  <c r="R105" i="2" s="1"/>
  <c r="W97" i="1"/>
  <c r="R97" i="2" s="1"/>
  <c r="W89" i="1"/>
  <c r="R89" i="2" s="1"/>
  <c r="W81" i="1"/>
  <c r="R81" i="2" s="1"/>
  <c r="W73" i="1"/>
  <c r="R73" i="2" s="1"/>
  <c r="W65" i="1"/>
  <c r="R65" i="2" s="1"/>
  <c r="W57" i="1"/>
  <c r="R57" i="2" s="1"/>
  <c r="W49" i="1"/>
  <c r="R49" i="2" s="1"/>
  <c r="W41" i="1"/>
  <c r="R41" i="2" s="1"/>
  <c r="W33" i="1"/>
  <c r="R33" i="2" s="1"/>
  <c r="W25" i="1"/>
  <c r="R25" i="2" s="1"/>
  <c r="W22" i="1"/>
  <c r="R22" i="2" s="1"/>
  <c r="W8" i="1"/>
  <c r="R8" i="2" s="1"/>
  <c r="W296" i="1"/>
  <c r="R296" i="2" s="1"/>
  <c r="W288" i="1"/>
  <c r="R288" i="2" s="1"/>
  <c r="W280" i="1"/>
  <c r="R280" i="2" s="1"/>
  <c r="W272" i="1"/>
  <c r="R272" i="2" s="1"/>
  <c r="W264" i="1"/>
  <c r="R264" i="2" s="1"/>
  <c r="W256" i="1"/>
  <c r="R256" i="2" s="1"/>
  <c r="W248" i="1"/>
  <c r="R248" i="2" s="1"/>
  <c r="W240" i="1"/>
  <c r="R240" i="2" s="1"/>
  <c r="W232" i="1"/>
  <c r="R232" i="2" s="1"/>
  <c r="W224" i="1"/>
  <c r="R224" i="2" s="1"/>
  <c r="W216" i="1"/>
  <c r="R216" i="2" s="1"/>
  <c r="W208" i="1"/>
  <c r="R208" i="2" s="1"/>
  <c r="W200" i="1"/>
  <c r="R200" i="2" s="1"/>
  <c r="W192" i="1"/>
  <c r="R192" i="2" s="1"/>
  <c r="W184" i="1"/>
  <c r="R184" i="2" s="1"/>
  <c r="W176" i="1"/>
  <c r="R176" i="2" s="1"/>
  <c r="W168" i="1"/>
  <c r="R168" i="2" s="1"/>
  <c r="W160" i="1"/>
  <c r="R160" i="2" s="1"/>
  <c r="W152" i="1"/>
  <c r="R152" i="2" s="1"/>
  <c r="W144" i="1"/>
  <c r="R144" i="2" s="1"/>
  <c r="W136" i="1"/>
  <c r="R136" i="2" s="1"/>
  <c r="W128" i="1"/>
  <c r="R128" i="2" s="1"/>
  <c r="W120" i="1"/>
  <c r="R120" i="2" s="1"/>
  <c r="W112" i="1"/>
  <c r="R112" i="2" s="1"/>
  <c r="W104" i="1"/>
  <c r="R104" i="2" s="1"/>
  <c r="W96" i="1"/>
  <c r="R96" i="2" s="1"/>
  <c r="W88" i="1"/>
  <c r="R88" i="2" s="1"/>
  <c r="W80" i="1"/>
  <c r="R80" i="2" s="1"/>
  <c r="W72" i="1"/>
  <c r="R72" i="2" s="1"/>
  <c r="W64" i="1"/>
  <c r="R64" i="2" s="1"/>
  <c r="W56" i="1"/>
  <c r="R56" i="2" s="1"/>
  <c r="W48" i="1"/>
  <c r="R48" i="2" s="1"/>
  <c r="W40" i="1"/>
  <c r="R40" i="2" s="1"/>
  <c r="W32" i="1"/>
  <c r="R32" i="2" s="1"/>
  <c r="W24" i="1"/>
  <c r="R24" i="2" s="1"/>
  <c r="W21" i="1"/>
  <c r="R21" i="2" s="1"/>
  <c r="W13" i="1"/>
  <c r="R13" i="2" s="1"/>
  <c r="W5" i="1"/>
  <c r="R5" i="2" s="1"/>
  <c r="W20" i="1"/>
  <c r="R20" i="2" s="1"/>
  <c r="W12" i="1"/>
  <c r="R12" i="2" s="1"/>
  <c r="W4" i="1"/>
  <c r="R4" i="2" s="1"/>
  <c r="W19" i="1"/>
  <c r="R19" i="2" s="1"/>
  <c r="W11" i="1"/>
  <c r="R11" i="2" s="1"/>
  <c r="W3" i="1"/>
  <c r="R3" i="2" s="1"/>
  <c r="X2" i="1"/>
  <c r="W2" i="1"/>
  <c r="R2" i="2" s="1"/>
  <c r="AA27" i="1" l="1"/>
  <c r="AA27" i="2" s="1"/>
  <c r="S27" i="2"/>
  <c r="AA91" i="1"/>
  <c r="AA91" i="2" s="1"/>
  <c r="S91" i="2"/>
  <c r="AA155" i="1"/>
  <c r="AA155" i="2" s="1"/>
  <c r="S155" i="2"/>
  <c r="AA219" i="1"/>
  <c r="AA219" i="2" s="1"/>
  <c r="S219" i="2"/>
  <c r="AA283" i="1"/>
  <c r="AA283" i="2" s="1"/>
  <c r="S283" i="2"/>
  <c r="AA126" i="1"/>
  <c r="AA126" i="2" s="1"/>
  <c r="S126" i="2"/>
  <c r="AA52" i="1"/>
  <c r="AA52" i="2" s="1"/>
  <c r="S52" i="2"/>
  <c r="AA116" i="1"/>
  <c r="AA116" i="2" s="1"/>
  <c r="S116" i="2"/>
  <c r="AA180" i="1"/>
  <c r="AA180" i="2" s="1"/>
  <c r="S180" i="2"/>
  <c r="AA244" i="1"/>
  <c r="AA244" i="2" s="1"/>
  <c r="S244" i="2"/>
  <c r="AA62" i="1"/>
  <c r="AA62" i="2" s="1"/>
  <c r="S62" i="2"/>
  <c r="AA246" i="1"/>
  <c r="AA246" i="2" s="1"/>
  <c r="S246" i="2"/>
  <c r="AA13" i="1"/>
  <c r="AA13" i="2" s="1"/>
  <c r="S13" i="2"/>
  <c r="AA77" i="1"/>
  <c r="AA77" i="2" s="1"/>
  <c r="S77" i="2"/>
  <c r="AA141" i="1"/>
  <c r="AA141" i="2" s="1"/>
  <c r="S141" i="2"/>
  <c r="AA205" i="1"/>
  <c r="AA205" i="2" s="1"/>
  <c r="S205" i="2"/>
  <c r="AA269" i="1"/>
  <c r="AA269" i="2" s="1"/>
  <c r="S269" i="2"/>
  <c r="AA206" i="1"/>
  <c r="AA206" i="2" s="1"/>
  <c r="S206" i="2"/>
  <c r="AA103" i="1"/>
  <c r="AA103" i="2" s="1"/>
  <c r="S103" i="2"/>
  <c r="AA231" i="1"/>
  <c r="AA231" i="2" s="1"/>
  <c r="S231" i="2"/>
  <c r="AA88" i="1"/>
  <c r="AA88" i="2" s="1"/>
  <c r="S88" i="2"/>
  <c r="AA216" i="1"/>
  <c r="AA216" i="2" s="1"/>
  <c r="S216" i="2"/>
  <c r="AA121" i="1"/>
  <c r="AA121" i="2" s="1"/>
  <c r="S121" i="2"/>
  <c r="AA249" i="1"/>
  <c r="AA249" i="2" s="1"/>
  <c r="S249" i="2"/>
  <c r="AA32" i="1"/>
  <c r="AA32" i="2" s="1"/>
  <c r="S32" i="2"/>
  <c r="AA160" i="1"/>
  <c r="AA160" i="2" s="1"/>
  <c r="S160" i="2"/>
  <c r="AA288" i="1"/>
  <c r="AA288" i="2" s="1"/>
  <c r="S288" i="2"/>
  <c r="AA129" i="1"/>
  <c r="AA129" i="2" s="1"/>
  <c r="S129" i="2"/>
  <c r="AA257" i="1"/>
  <c r="AA257" i="2" s="1"/>
  <c r="S257" i="2"/>
  <c r="AA242" i="1"/>
  <c r="AA242" i="2" s="1"/>
  <c r="S242" i="2"/>
  <c r="AA271" i="1"/>
  <c r="AA271" i="2" s="1"/>
  <c r="S271" i="2"/>
  <c r="AA290" i="1"/>
  <c r="AA290" i="2" s="1"/>
  <c r="S290" i="2"/>
  <c r="AA95" i="1"/>
  <c r="AA95" i="2" s="1"/>
  <c r="S95" i="2"/>
  <c r="AA170" i="1"/>
  <c r="AA170" i="2" s="1"/>
  <c r="S170" i="2"/>
  <c r="AA98" i="1"/>
  <c r="AA98" i="2" s="1"/>
  <c r="S98" i="2"/>
  <c r="AA154" i="1"/>
  <c r="AA154" i="2" s="1"/>
  <c r="S154" i="2"/>
  <c r="AA234" i="1"/>
  <c r="AA234" i="2" s="1"/>
  <c r="S234" i="2"/>
  <c r="AA35" i="1"/>
  <c r="AA35" i="2" s="1"/>
  <c r="S35" i="2"/>
  <c r="AA163" i="1"/>
  <c r="AA163" i="2" s="1"/>
  <c r="S163" i="2"/>
  <c r="AA291" i="1"/>
  <c r="AA291" i="2" s="1"/>
  <c r="S291" i="2"/>
  <c r="AA142" i="1"/>
  <c r="AA142" i="2" s="1"/>
  <c r="S142" i="2"/>
  <c r="AA60" i="1"/>
  <c r="AA60" i="2" s="1"/>
  <c r="S60" i="2"/>
  <c r="AA188" i="1"/>
  <c r="AA188" i="2" s="1"/>
  <c r="S188" i="2"/>
  <c r="AA252" i="1"/>
  <c r="AA252" i="2" s="1"/>
  <c r="S252" i="2"/>
  <c r="AA21" i="1"/>
  <c r="AA21" i="2" s="1"/>
  <c r="S21" i="2"/>
  <c r="AA149" i="1"/>
  <c r="AA149" i="2" s="1"/>
  <c r="S149" i="2"/>
  <c r="AA230" i="1"/>
  <c r="AA230" i="2" s="1"/>
  <c r="S230" i="2"/>
  <c r="AA119" i="1"/>
  <c r="AA119" i="2" s="1"/>
  <c r="S119" i="2"/>
  <c r="AA232" i="1"/>
  <c r="AA232" i="2" s="1"/>
  <c r="S232" i="2"/>
  <c r="AA137" i="1"/>
  <c r="AA137" i="2" s="1"/>
  <c r="S137" i="2"/>
  <c r="AA176" i="1"/>
  <c r="AA176" i="2" s="1"/>
  <c r="S176" i="2"/>
  <c r="AA145" i="1"/>
  <c r="AA145" i="2" s="1"/>
  <c r="S145" i="2"/>
  <c r="AA287" i="1"/>
  <c r="AA287" i="2" s="1"/>
  <c r="S287" i="2"/>
  <c r="AA186" i="1"/>
  <c r="AA186" i="2" s="1"/>
  <c r="S186" i="2"/>
  <c r="AA90" i="1"/>
  <c r="AA90" i="2" s="1"/>
  <c r="S90" i="2"/>
  <c r="AA107" i="1"/>
  <c r="AA107" i="2" s="1"/>
  <c r="S107" i="2"/>
  <c r="AA235" i="1"/>
  <c r="AA235" i="2" s="1"/>
  <c r="S235" i="2"/>
  <c r="AA299" i="1"/>
  <c r="AA299" i="2" s="1"/>
  <c r="S299" i="2"/>
  <c r="AA166" i="1"/>
  <c r="AA166" i="2" s="1"/>
  <c r="S166" i="2"/>
  <c r="AA4" i="1"/>
  <c r="AA4" i="2" s="1"/>
  <c r="S4" i="2"/>
  <c r="AA196" i="1"/>
  <c r="AA196" i="2" s="1"/>
  <c r="S196" i="2"/>
  <c r="AA294" i="1"/>
  <c r="AA294" i="2" s="1"/>
  <c r="S294" i="2"/>
  <c r="AA29" i="1"/>
  <c r="AA29" i="2" s="1"/>
  <c r="S29" i="2"/>
  <c r="AA157" i="1"/>
  <c r="AA157" i="2" s="1"/>
  <c r="S157" i="2"/>
  <c r="AA7" i="1"/>
  <c r="AA7" i="2" s="1"/>
  <c r="S7" i="2"/>
  <c r="AA263" i="1"/>
  <c r="AA263" i="2" s="1"/>
  <c r="S263" i="2"/>
  <c r="AA120" i="1"/>
  <c r="AA120" i="2" s="1"/>
  <c r="S120" i="2"/>
  <c r="AA25" i="1"/>
  <c r="AA25" i="2" s="1"/>
  <c r="S25" i="2"/>
  <c r="AA64" i="1"/>
  <c r="AA64" i="2" s="1"/>
  <c r="S64" i="2"/>
  <c r="AA33" i="1"/>
  <c r="AA33" i="2" s="1"/>
  <c r="S33" i="2"/>
  <c r="AA289" i="1"/>
  <c r="AA289" i="2" s="1"/>
  <c r="S289" i="2"/>
  <c r="AA34" i="1"/>
  <c r="AA34" i="2" s="1"/>
  <c r="S34" i="2"/>
  <c r="AA274" i="1"/>
  <c r="AA274" i="2" s="1"/>
  <c r="S274" i="2"/>
  <c r="AA130" i="1"/>
  <c r="AA130" i="2" s="1"/>
  <c r="S130" i="2"/>
  <c r="AA51" i="1"/>
  <c r="AA51" i="2" s="1"/>
  <c r="S51" i="2"/>
  <c r="AA115" i="1"/>
  <c r="AA115" i="2" s="1"/>
  <c r="S115" i="2"/>
  <c r="AA179" i="1"/>
  <c r="AA179" i="2" s="1"/>
  <c r="S179" i="2"/>
  <c r="AA243" i="1"/>
  <c r="AA243" i="2" s="1"/>
  <c r="S243" i="2"/>
  <c r="AA76" i="1"/>
  <c r="AA76" i="2" s="1"/>
  <c r="S76" i="2"/>
  <c r="AA204" i="1"/>
  <c r="AA204" i="2" s="1"/>
  <c r="S204" i="2"/>
  <c r="AA101" i="1"/>
  <c r="AA101" i="2" s="1"/>
  <c r="S101" i="2"/>
  <c r="AA229" i="1"/>
  <c r="AA229" i="2" s="1"/>
  <c r="S229" i="2"/>
  <c r="AA6" i="1"/>
  <c r="AA6" i="2" s="1"/>
  <c r="S6" i="2"/>
  <c r="AA23" i="1"/>
  <c r="AA23" i="2" s="1"/>
  <c r="S23" i="2"/>
  <c r="AA279" i="1"/>
  <c r="AA279" i="2" s="1"/>
  <c r="S279" i="2"/>
  <c r="AA136" i="1"/>
  <c r="AA136" i="2" s="1"/>
  <c r="S136" i="2"/>
  <c r="AA41" i="1"/>
  <c r="AA41" i="2" s="1"/>
  <c r="S41" i="2"/>
  <c r="AA297" i="1"/>
  <c r="AA297" i="2" s="1"/>
  <c r="S297" i="2"/>
  <c r="AA208" i="1"/>
  <c r="AA208" i="2" s="1"/>
  <c r="S208" i="2"/>
  <c r="AA177" i="1"/>
  <c r="AA177" i="2" s="1"/>
  <c r="S177" i="2"/>
  <c r="AA298" i="1"/>
  <c r="AA298" i="2" s="1"/>
  <c r="S298" i="2"/>
  <c r="AA18" i="1"/>
  <c r="AA18" i="2" s="1"/>
  <c r="S18" i="2"/>
  <c r="AA138" i="1"/>
  <c r="AA138" i="2" s="1"/>
  <c r="S138" i="2"/>
  <c r="AA123" i="1"/>
  <c r="AA123" i="2" s="1"/>
  <c r="S123" i="2"/>
  <c r="AA251" i="1"/>
  <c r="AA251" i="2" s="1"/>
  <c r="S251" i="2"/>
  <c r="AA54" i="1"/>
  <c r="AA54" i="2" s="1"/>
  <c r="S54" i="2"/>
  <c r="AA20" i="1"/>
  <c r="AA20" i="2" s="1"/>
  <c r="S20" i="2"/>
  <c r="AA148" i="1"/>
  <c r="AA148" i="2" s="1"/>
  <c r="S148" i="2"/>
  <c r="AA173" i="1"/>
  <c r="AA173" i="2" s="1"/>
  <c r="S173" i="2"/>
  <c r="AA301" i="1"/>
  <c r="AA301" i="2" s="1"/>
  <c r="S301" i="2"/>
  <c r="AA39" i="1"/>
  <c r="AA39" i="2" s="1"/>
  <c r="S39" i="2"/>
  <c r="AA295" i="1"/>
  <c r="AA295" i="2" s="1"/>
  <c r="S295" i="2"/>
  <c r="AA152" i="1"/>
  <c r="AA152" i="2" s="1"/>
  <c r="S152" i="2"/>
  <c r="AA65" i="1"/>
  <c r="AA65" i="2" s="1"/>
  <c r="S65" i="2"/>
  <c r="AA74" i="1"/>
  <c r="AA74" i="2" s="1"/>
  <c r="S74" i="2"/>
  <c r="AA122" i="1"/>
  <c r="AA122" i="2" s="1"/>
  <c r="S122" i="2"/>
  <c r="AA3" i="1"/>
  <c r="AA3" i="2" s="1"/>
  <c r="S3" i="2"/>
  <c r="AA131" i="1"/>
  <c r="AA131" i="2" s="1"/>
  <c r="S131" i="2"/>
  <c r="AA259" i="1"/>
  <c r="AA259" i="2" s="1"/>
  <c r="S259" i="2"/>
  <c r="AA238" i="1"/>
  <c r="AA238" i="2" s="1"/>
  <c r="S238" i="2"/>
  <c r="AA28" i="1"/>
  <c r="AA28" i="2" s="1"/>
  <c r="S28" i="2"/>
  <c r="AA156" i="1"/>
  <c r="AA156" i="2" s="1"/>
  <c r="S156" i="2"/>
  <c r="AA284" i="1"/>
  <c r="AA284" i="2" s="1"/>
  <c r="S284" i="2"/>
  <c r="AA117" i="1"/>
  <c r="AA117" i="2" s="1"/>
  <c r="S117" i="2"/>
  <c r="AA181" i="1"/>
  <c r="AA181" i="2" s="1"/>
  <c r="S181" i="2"/>
  <c r="AA134" i="1"/>
  <c r="AA134" i="2" s="1"/>
  <c r="S134" i="2"/>
  <c r="AA55" i="1"/>
  <c r="AA55" i="2" s="1"/>
  <c r="S55" i="2"/>
  <c r="AA183" i="1"/>
  <c r="AA183" i="2" s="1"/>
  <c r="S183" i="2"/>
  <c r="AA168" i="1"/>
  <c r="AA168" i="2" s="1"/>
  <c r="S168" i="2"/>
  <c r="AA296" i="1"/>
  <c r="AA296" i="2" s="1"/>
  <c r="S296" i="2"/>
  <c r="AA73" i="1"/>
  <c r="AA73" i="2" s="1"/>
  <c r="S73" i="2"/>
  <c r="AA201" i="1"/>
  <c r="AA201" i="2" s="1"/>
  <c r="S201" i="2"/>
  <c r="AA112" i="1"/>
  <c r="AA112" i="2" s="1"/>
  <c r="S112" i="2"/>
  <c r="AA240" i="1"/>
  <c r="AA240" i="2" s="1"/>
  <c r="S240" i="2"/>
  <c r="AA81" i="1"/>
  <c r="AA81" i="2" s="1"/>
  <c r="S81" i="2"/>
  <c r="AA114" i="1"/>
  <c r="AA114" i="2" s="1"/>
  <c r="S114" i="2"/>
  <c r="AA162" i="1"/>
  <c r="AA162" i="2" s="1"/>
  <c r="S162" i="2"/>
  <c r="AA175" i="1"/>
  <c r="AA175" i="2" s="1"/>
  <c r="S175" i="2"/>
  <c r="AA42" i="1"/>
  <c r="AA42" i="2" s="1"/>
  <c r="S42" i="2"/>
  <c r="AA106" i="1"/>
  <c r="AA106" i="2" s="1"/>
  <c r="S106" i="2"/>
  <c r="AA58" i="1"/>
  <c r="AA58" i="2" s="1"/>
  <c r="S58" i="2"/>
  <c r="AA11" i="1"/>
  <c r="AA11" i="2" s="1"/>
  <c r="S11" i="2"/>
  <c r="AA75" i="1"/>
  <c r="AA75" i="2" s="1"/>
  <c r="S75" i="2"/>
  <c r="AA139" i="1"/>
  <c r="AA139" i="2" s="1"/>
  <c r="S139" i="2"/>
  <c r="AA203" i="1"/>
  <c r="AA203" i="2" s="1"/>
  <c r="S203" i="2"/>
  <c r="AA267" i="1"/>
  <c r="AA267" i="2" s="1"/>
  <c r="S267" i="2"/>
  <c r="AA94" i="1"/>
  <c r="AA94" i="2" s="1"/>
  <c r="S94" i="2"/>
  <c r="AA262" i="1"/>
  <c r="AA262" i="2" s="1"/>
  <c r="S262" i="2"/>
  <c r="AA36" i="1"/>
  <c r="AA36" i="2" s="1"/>
  <c r="S36" i="2"/>
  <c r="AA100" i="1"/>
  <c r="AA100" i="2" s="1"/>
  <c r="S100" i="2"/>
  <c r="AA164" i="1"/>
  <c r="AA164" i="2" s="1"/>
  <c r="S164" i="2"/>
  <c r="AA228" i="1"/>
  <c r="AA228" i="2" s="1"/>
  <c r="S228" i="2"/>
  <c r="AA292" i="1"/>
  <c r="AA292" i="2" s="1"/>
  <c r="S292" i="2"/>
  <c r="AA14" i="1"/>
  <c r="AA14" i="2" s="1"/>
  <c r="S14" i="2"/>
  <c r="AA198" i="1"/>
  <c r="AA198" i="2" s="1"/>
  <c r="S198" i="2"/>
  <c r="AA61" i="1"/>
  <c r="AA61" i="2" s="1"/>
  <c r="S61" i="2"/>
  <c r="AA125" i="1"/>
  <c r="AA125" i="2" s="1"/>
  <c r="S125" i="2"/>
  <c r="AA189" i="1"/>
  <c r="AA189" i="2" s="1"/>
  <c r="S189" i="2"/>
  <c r="AA253" i="1"/>
  <c r="AA253" i="2" s="1"/>
  <c r="S253" i="2"/>
  <c r="AA158" i="1"/>
  <c r="AA158" i="2" s="1"/>
  <c r="S158" i="2"/>
  <c r="AA71" i="1"/>
  <c r="AA71" i="2" s="1"/>
  <c r="S71" i="2"/>
  <c r="AA199" i="1"/>
  <c r="AA199" i="2" s="1"/>
  <c r="S199" i="2"/>
  <c r="AA56" i="1"/>
  <c r="AA56" i="2" s="1"/>
  <c r="S56" i="2"/>
  <c r="AA184" i="1"/>
  <c r="AA184" i="2" s="1"/>
  <c r="S184" i="2"/>
  <c r="AA89" i="1"/>
  <c r="AA89" i="2" s="1"/>
  <c r="S89" i="2"/>
  <c r="AA217" i="1"/>
  <c r="AA217" i="2" s="1"/>
  <c r="S217" i="2"/>
  <c r="AA128" i="1"/>
  <c r="AA128" i="2" s="1"/>
  <c r="S128" i="2"/>
  <c r="AA256" i="1"/>
  <c r="AA256" i="2" s="1"/>
  <c r="S256" i="2"/>
  <c r="AA97" i="1"/>
  <c r="AA97" i="2" s="1"/>
  <c r="S97" i="2"/>
  <c r="AA225" i="1"/>
  <c r="AA225" i="2" s="1"/>
  <c r="S225" i="2"/>
  <c r="AA159" i="1"/>
  <c r="AA159" i="2" s="1"/>
  <c r="S159" i="2"/>
  <c r="AA223" i="1"/>
  <c r="AA223" i="2" s="1"/>
  <c r="S223" i="2"/>
  <c r="AA207" i="1"/>
  <c r="AA207" i="2" s="1"/>
  <c r="S207" i="2"/>
  <c r="AA82" i="1"/>
  <c r="AA82" i="2" s="1"/>
  <c r="S82" i="2"/>
  <c r="AA15" i="1"/>
  <c r="AA15" i="2" s="1"/>
  <c r="S15" i="2"/>
  <c r="AA194" i="1"/>
  <c r="AA194" i="2" s="1"/>
  <c r="S194" i="2"/>
  <c r="AA226" i="1"/>
  <c r="AA226" i="2" s="1"/>
  <c r="S226" i="2"/>
  <c r="AA258" i="1"/>
  <c r="AA258" i="2" s="1"/>
  <c r="S258" i="2"/>
  <c r="AA99" i="1"/>
  <c r="AA99" i="2" s="1"/>
  <c r="S99" i="2"/>
  <c r="AA227" i="1"/>
  <c r="AA227" i="2" s="1"/>
  <c r="S227" i="2"/>
  <c r="AA22" i="1"/>
  <c r="AA22" i="2" s="1"/>
  <c r="S22" i="2"/>
  <c r="AA124" i="1"/>
  <c r="AA124" i="2" s="1"/>
  <c r="S124" i="2"/>
  <c r="AA78" i="1"/>
  <c r="AA78" i="2" s="1"/>
  <c r="S78" i="2"/>
  <c r="AA270" i="1"/>
  <c r="AA270" i="2" s="1"/>
  <c r="S270" i="2"/>
  <c r="AA85" i="1"/>
  <c r="AA85" i="2" s="1"/>
  <c r="S85" i="2"/>
  <c r="AA213" i="1"/>
  <c r="AA213" i="2" s="1"/>
  <c r="S213" i="2"/>
  <c r="AA277" i="1"/>
  <c r="AA277" i="2" s="1"/>
  <c r="S277" i="2"/>
  <c r="AA247" i="1"/>
  <c r="AA247" i="2" s="1"/>
  <c r="S247" i="2"/>
  <c r="AA104" i="1"/>
  <c r="AA104" i="2" s="1"/>
  <c r="S104" i="2"/>
  <c r="AA9" i="1"/>
  <c r="AA9" i="2" s="1"/>
  <c r="S9" i="2"/>
  <c r="AA265" i="1"/>
  <c r="AA265" i="2" s="1"/>
  <c r="S265" i="2"/>
  <c r="AA48" i="1"/>
  <c r="AA48" i="2" s="1"/>
  <c r="S48" i="2"/>
  <c r="AA17" i="1"/>
  <c r="AA17" i="2" s="1"/>
  <c r="S17" i="2"/>
  <c r="AA273" i="1"/>
  <c r="AA273" i="2" s="1"/>
  <c r="S273" i="2"/>
  <c r="AA63" i="1"/>
  <c r="AA63" i="2" s="1"/>
  <c r="S63" i="2"/>
  <c r="AA210" i="1"/>
  <c r="AA210" i="2" s="1"/>
  <c r="S210" i="2"/>
  <c r="AA43" i="1"/>
  <c r="AA43" i="2" s="1"/>
  <c r="S43" i="2"/>
  <c r="AA171" i="1"/>
  <c r="AA171" i="2" s="1"/>
  <c r="S171" i="2"/>
  <c r="AA30" i="1"/>
  <c r="AA30" i="2" s="1"/>
  <c r="S30" i="2"/>
  <c r="AA68" i="1"/>
  <c r="AA68" i="2" s="1"/>
  <c r="S68" i="2"/>
  <c r="AA132" i="1"/>
  <c r="AA132" i="2" s="1"/>
  <c r="S132" i="2"/>
  <c r="AA260" i="1"/>
  <c r="AA260" i="2" s="1"/>
  <c r="S260" i="2"/>
  <c r="AA102" i="1"/>
  <c r="AA102" i="2" s="1"/>
  <c r="S102" i="2"/>
  <c r="AA93" i="1"/>
  <c r="AA93" i="2" s="1"/>
  <c r="S93" i="2"/>
  <c r="AA221" i="1"/>
  <c r="AA221" i="2" s="1"/>
  <c r="S221" i="2"/>
  <c r="AA285" i="1"/>
  <c r="AA285" i="2" s="1"/>
  <c r="S285" i="2"/>
  <c r="AA254" i="1"/>
  <c r="AA254" i="2" s="1"/>
  <c r="S254" i="2"/>
  <c r="AA135" i="1"/>
  <c r="AA135" i="2" s="1"/>
  <c r="S135" i="2"/>
  <c r="AA248" i="1"/>
  <c r="AA248" i="2" s="1"/>
  <c r="S248" i="2"/>
  <c r="AA153" i="1"/>
  <c r="AA153" i="2" s="1"/>
  <c r="S153" i="2"/>
  <c r="AA281" i="1"/>
  <c r="AA281" i="2" s="1"/>
  <c r="S281" i="2"/>
  <c r="AA192" i="1"/>
  <c r="AA192" i="2" s="1"/>
  <c r="S192" i="2"/>
  <c r="AA161" i="1"/>
  <c r="AA161" i="2" s="1"/>
  <c r="S161" i="2"/>
  <c r="AA255" i="1"/>
  <c r="AA255" i="2" s="1"/>
  <c r="S255" i="2"/>
  <c r="AA239" i="1"/>
  <c r="AA239" i="2" s="1"/>
  <c r="S239" i="2"/>
  <c r="AA50" i="1"/>
  <c r="AA50" i="2" s="1"/>
  <c r="S50" i="2"/>
  <c r="AA38" i="1"/>
  <c r="AA38" i="2" s="1"/>
  <c r="S38" i="2"/>
  <c r="AA190" i="1"/>
  <c r="AA190" i="2" s="1"/>
  <c r="S190" i="2"/>
  <c r="AA12" i="1"/>
  <c r="AA12" i="2" s="1"/>
  <c r="S12" i="2"/>
  <c r="AA140" i="1"/>
  <c r="AA140" i="2" s="1"/>
  <c r="S140" i="2"/>
  <c r="AA268" i="1"/>
  <c r="AA268" i="2" s="1"/>
  <c r="S268" i="2"/>
  <c r="AA118" i="1"/>
  <c r="AA118" i="2" s="1"/>
  <c r="S118" i="2"/>
  <c r="AA37" i="1"/>
  <c r="AA37" i="2" s="1"/>
  <c r="S37" i="2"/>
  <c r="AA165" i="1"/>
  <c r="AA165" i="2" s="1"/>
  <c r="S165" i="2"/>
  <c r="AA293" i="1"/>
  <c r="AA293" i="2" s="1"/>
  <c r="S293" i="2"/>
  <c r="AA278" i="1"/>
  <c r="AA278" i="2" s="1"/>
  <c r="S278" i="2"/>
  <c r="AA151" i="1"/>
  <c r="AA151" i="2" s="1"/>
  <c r="S151" i="2"/>
  <c r="AA8" i="1"/>
  <c r="AA8" i="2" s="1"/>
  <c r="S8" i="2"/>
  <c r="AA264" i="1"/>
  <c r="AA264" i="2" s="1"/>
  <c r="S264" i="2"/>
  <c r="AA169" i="1"/>
  <c r="AA169" i="2" s="1"/>
  <c r="S169" i="2"/>
  <c r="AA80" i="1"/>
  <c r="AA80" i="2" s="1"/>
  <c r="S80" i="2"/>
  <c r="AA49" i="1"/>
  <c r="AA49" i="2" s="1"/>
  <c r="S49" i="2"/>
  <c r="AA31" i="1"/>
  <c r="AA31" i="2" s="1"/>
  <c r="S31" i="2"/>
  <c r="AA79" i="1"/>
  <c r="AA79" i="2" s="1"/>
  <c r="S79" i="2"/>
  <c r="AA191" i="1"/>
  <c r="AA191" i="2" s="1"/>
  <c r="S191" i="2"/>
  <c r="AA178" i="1"/>
  <c r="AA178" i="2" s="1"/>
  <c r="S178" i="2"/>
  <c r="AA59" i="1"/>
  <c r="AA59" i="2" s="1"/>
  <c r="S59" i="2"/>
  <c r="AA187" i="1"/>
  <c r="AA187" i="2" s="1"/>
  <c r="S187" i="2"/>
  <c r="AA214" i="1"/>
  <c r="AA214" i="2" s="1"/>
  <c r="S214" i="2"/>
  <c r="AA84" i="1"/>
  <c r="AA84" i="2" s="1"/>
  <c r="S84" i="2"/>
  <c r="AA212" i="1"/>
  <c r="AA212" i="2" s="1"/>
  <c r="S212" i="2"/>
  <c r="AA276" i="1"/>
  <c r="AA276" i="2" s="1"/>
  <c r="S276" i="2"/>
  <c r="AA150" i="1"/>
  <c r="AA150" i="2" s="1"/>
  <c r="S150" i="2"/>
  <c r="AA45" i="1"/>
  <c r="AA45" i="2" s="1"/>
  <c r="S45" i="2"/>
  <c r="AA109" i="1"/>
  <c r="AA109" i="2" s="1"/>
  <c r="S109" i="2"/>
  <c r="AA237" i="1"/>
  <c r="AA237" i="2" s="1"/>
  <c r="S237" i="2"/>
  <c r="AA86" i="1"/>
  <c r="AA86" i="2" s="1"/>
  <c r="S86" i="2"/>
  <c r="AA167" i="1"/>
  <c r="AA167" i="2" s="1"/>
  <c r="S167" i="2"/>
  <c r="AA24" i="1"/>
  <c r="AA24" i="2" s="1"/>
  <c r="S24" i="2"/>
  <c r="AA280" i="1"/>
  <c r="AA280" i="2" s="1"/>
  <c r="S280" i="2"/>
  <c r="AA57" i="1"/>
  <c r="AA57" i="2" s="1"/>
  <c r="S57" i="2"/>
  <c r="AA185" i="1"/>
  <c r="AA185" i="2" s="1"/>
  <c r="S185" i="2"/>
  <c r="AA96" i="1"/>
  <c r="AA96" i="2" s="1"/>
  <c r="S96" i="2"/>
  <c r="AA224" i="1"/>
  <c r="AA224" i="2" s="1"/>
  <c r="S224" i="2"/>
  <c r="AA193" i="1"/>
  <c r="AA193" i="2" s="1"/>
  <c r="S193" i="2"/>
  <c r="AA47" i="1"/>
  <c r="AA47" i="2" s="1"/>
  <c r="S47" i="2"/>
  <c r="AA10" i="1"/>
  <c r="AA10" i="2" s="1"/>
  <c r="S10" i="2"/>
  <c r="AA111" i="1"/>
  <c r="AA111" i="2" s="1"/>
  <c r="S111" i="2"/>
  <c r="AA146" i="1"/>
  <c r="AA146" i="2" s="1"/>
  <c r="S146" i="2"/>
  <c r="AA67" i="1"/>
  <c r="AA67" i="2" s="1"/>
  <c r="S67" i="2"/>
  <c r="AA195" i="1"/>
  <c r="AA195" i="2" s="1"/>
  <c r="S195" i="2"/>
  <c r="AA70" i="1"/>
  <c r="AA70" i="2" s="1"/>
  <c r="S70" i="2"/>
  <c r="AA92" i="1"/>
  <c r="AA92" i="2" s="1"/>
  <c r="S92" i="2"/>
  <c r="AA220" i="1"/>
  <c r="AA220" i="2" s="1"/>
  <c r="S220" i="2"/>
  <c r="AA174" i="1"/>
  <c r="AA174" i="2" s="1"/>
  <c r="S174" i="2"/>
  <c r="AA53" i="1"/>
  <c r="AA53" i="2" s="1"/>
  <c r="S53" i="2"/>
  <c r="AA245" i="1"/>
  <c r="AA245" i="2" s="1"/>
  <c r="S245" i="2"/>
  <c r="AA40" i="1"/>
  <c r="AA40" i="2" s="1"/>
  <c r="S40" i="2"/>
  <c r="AA209" i="1"/>
  <c r="AA209" i="2" s="1"/>
  <c r="S209" i="2"/>
  <c r="AA218" i="1"/>
  <c r="AA218" i="2" s="1"/>
  <c r="S218" i="2"/>
  <c r="AA266" i="1"/>
  <c r="AA266" i="2" s="1"/>
  <c r="S266" i="2"/>
  <c r="AA19" i="1"/>
  <c r="AA19" i="2" s="1"/>
  <c r="S19" i="2"/>
  <c r="AA83" i="1"/>
  <c r="AA83" i="2" s="1"/>
  <c r="S83" i="2"/>
  <c r="AA147" i="1"/>
  <c r="AA147" i="2" s="1"/>
  <c r="S147" i="2"/>
  <c r="AA211" i="1"/>
  <c r="AA211" i="2" s="1"/>
  <c r="S211" i="2"/>
  <c r="AA275" i="1"/>
  <c r="AA275" i="2" s="1"/>
  <c r="S275" i="2"/>
  <c r="AA110" i="1"/>
  <c r="AA110" i="2" s="1"/>
  <c r="S110" i="2"/>
  <c r="AA286" i="1"/>
  <c r="AA286" i="2" s="1"/>
  <c r="S286" i="2"/>
  <c r="AA44" i="1"/>
  <c r="AA44" i="2" s="1"/>
  <c r="S44" i="2"/>
  <c r="AA108" i="1"/>
  <c r="AA108" i="2" s="1"/>
  <c r="S108" i="2"/>
  <c r="AA172" i="1"/>
  <c r="AA172" i="2" s="1"/>
  <c r="S172" i="2"/>
  <c r="AA236" i="1"/>
  <c r="AA236" i="2" s="1"/>
  <c r="S236" i="2"/>
  <c r="AA300" i="1"/>
  <c r="AA300" i="2" s="1"/>
  <c r="S300" i="2"/>
  <c r="AA46" i="1"/>
  <c r="AA46" i="2" s="1"/>
  <c r="S46" i="2"/>
  <c r="AA222" i="1"/>
  <c r="AA222" i="2" s="1"/>
  <c r="S222" i="2"/>
  <c r="AA5" i="1"/>
  <c r="AA5" i="2" s="1"/>
  <c r="S5" i="2"/>
  <c r="AA69" i="1"/>
  <c r="AA69" i="2" s="1"/>
  <c r="S69" i="2"/>
  <c r="AA133" i="1"/>
  <c r="AA133" i="2" s="1"/>
  <c r="S133" i="2"/>
  <c r="AA197" i="1"/>
  <c r="AA197" i="2" s="1"/>
  <c r="S197" i="2"/>
  <c r="AA261" i="1"/>
  <c r="AA261" i="2" s="1"/>
  <c r="S261" i="2"/>
  <c r="AA182" i="1"/>
  <c r="AA182" i="2" s="1"/>
  <c r="S182" i="2"/>
  <c r="AA87" i="1"/>
  <c r="AA87" i="2" s="1"/>
  <c r="S87" i="2"/>
  <c r="AA215" i="1"/>
  <c r="AA215" i="2" s="1"/>
  <c r="S215" i="2"/>
  <c r="AA72" i="1"/>
  <c r="AA72" i="2" s="1"/>
  <c r="S72" i="2"/>
  <c r="AA200" i="1"/>
  <c r="AA200" i="2" s="1"/>
  <c r="S200" i="2"/>
  <c r="AA105" i="1"/>
  <c r="AA105" i="2" s="1"/>
  <c r="S105" i="2"/>
  <c r="AA233" i="1"/>
  <c r="AA233" i="2" s="1"/>
  <c r="S233" i="2"/>
  <c r="AA16" i="1"/>
  <c r="AA16" i="2" s="1"/>
  <c r="S16" i="2"/>
  <c r="AA144" i="1"/>
  <c r="AA144" i="2" s="1"/>
  <c r="S144" i="2"/>
  <c r="AA272" i="1"/>
  <c r="AA272" i="2" s="1"/>
  <c r="S272" i="2"/>
  <c r="AA113" i="1"/>
  <c r="AA113" i="2" s="1"/>
  <c r="S113" i="2"/>
  <c r="AA241" i="1"/>
  <c r="AA241" i="2" s="1"/>
  <c r="S241" i="2"/>
  <c r="AA202" i="1"/>
  <c r="AA202" i="2" s="1"/>
  <c r="S202" i="2"/>
  <c r="AA250" i="1"/>
  <c r="AA250" i="2" s="1"/>
  <c r="S250" i="2"/>
  <c r="AA127" i="1"/>
  <c r="AA127" i="2" s="1"/>
  <c r="S127" i="2"/>
  <c r="AA143" i="1"/>
  <c r="AA143" i="2" s="1"/>
  <c r="S143" i="2"/>
  <c r="AA282" i="1"/>
  <c r="AA282" i="2" s="1"/>
  <c r="S282" i="2"/>
  <c r="AA26" i="1"/>
  <c r="AA26" i="2" s="1"/>
  <c r="S26" i="2"/>
  <c r="AA66" i="1"/>
  <c r="AA66" i="2" s="1"/>
  <c r="S66" i="2"/>
  <c r="AA2" i="1"/>
  <c r="AA2" i="2" s="1"/>
  <c r="S2" i="2"/>
  <c r="Z5" i="1"/>
  <c r="X2" i="2" s="1"/>
  <c r="Z2" i="1"/>
  <c r="W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Tausiful Haque</author>
  </authors>
  <commentList>
    <comment ref="B1" authorId="0" shapeId="0" xr:uid="{C4AB80BF-F2F7-4B0B-96FB-3DC80908A4F5}">
      <text>
        <r>
          <rPr>
            <b/>
            <sz val="9"/>
            <color indexed="81"/>
            <rFont val="Tahoma"/>
            <family val="2"/>
          </rPr>
          <t>Tausiful Haque:</t>
        </r>
        <r>
          <rPr>
            <sz val="9"/>
            <color indexed="81"/>
            <rFont val="Tahoma"/>
            <family val="2"/>
          </rPr>
          <t xml:space="preserve">
Remove extra space TRIM+UPPER
</t>
        </r>
      </text>
    </comment>
    <comment ref="J1" authorId="0" shapeId="0" xr:uid="{7DCEAF73-0C34-41F3-A77C-0ABEF87DA717}">
      <text>
        <r>
          <rPr>
            <b/>
            <sz val="9"/>
            <color indexed="81"/>
            <rFont val="Tahoma"/>
            <family val="2"/>
          </rPr>
          <t>Tausiful Haque:</t>
        </r>
        <r>
          <rPr>
            <sz val="9"/>
            <color indexed="81"/>
            <rFont val="Tahoma"/>
            <family val="2"/>
          </rPr>
          <t xml:space="preserve">
Jaha blanck hai waha pe TODAY() aaj ka date aa jayega</t>
        </r>
      </text>
    </comment>
    <comment ref="P1" authorId="0" shapeId="0" xr:uid="{07ED39B3-EB51-4ACD-90A7-636F4778FC1D}">
      <text>
        <r>
          <rPr>
            <b/>
            <sz val="9"/>
            <color indexed="81"/>
            <rFont val="Tahoma"/>
            <family val="2"/>
          </rPr>
          <t>Tausiful Haque:</t>
        </r>
        <r>
          <rPr>
            <sz val="9"/>
            <color indexed="81"/>
            <rFont val="Tahoma"/>
            <family val="2"/>
          </rPr>
          <t xml:space="preserve">
Below 20,000
20,000 – 40,000
40,001 – 60,000
60,001 – 80,000
Above 80,000</t>
        </r>
      </text>
    </comment>
    <comment ref="S1" authorId="0" shapeId="0" xr:uid="{47724094-91DB-46BB-95B6-CDAE38191A1A}">
      <text>
        <r>
          <rPr>
            <b/>
            <sz val="9"/>
            <color indexed="81"/>
            <rFont val="Tahoma"/>
            <family val="2"/>
          </rPr>
          <t>Tausiful Haque:</t>
        </r>
        <r>
          <rPr>
            <sz val="9"/>
            <color indexed="81"/>
            <rFont val="Tahoma"/>
            <family val="2"/>
          </rPr>
          <t xml:space="preserve">
Normal space nhi h isiliye SUBSTITUTE ka use hua hai aur " " Ke jagah "" use hua hai</t>
        </r>
      </text>
    </comment>
    <comment ref="Z7" authorId="0" shapeId="0" xr:uid="{CD0900F9-1E4F-414C-8898-2EBFD7ACB7B3}">
      <text>
        <r>
          <rPr>
            <b/>
            <sz val="9"/>
            <color indexed="81"/>
            <rFont val="Tahoma"/>
            <family val="2"/>
          </rPr>
          <t>Tausiful Haque:</t>
        </r>
        <r>
          <rPr>
            <sz val="9"/>
            <color indexed="81"/>
            <rFont val="Tahoma"/>
            <family val="2"/>
          </rPr>
          <t xml:space="preserve">
Ye sirf 1 no ka aadmi ka salary dega matlab sbse jayada wala ka</t>
        </r>
      </text>
    </comment>
    <comment ref="Z10" authorId="0" shapeId="0" xr:uid="{1E1D702E-3964-43BE-9F6D-DE7EAF518D24}">
      <text>
        <r>
          <rPr>
            <b/>
            <sz val="9"/>
            <color indexed="81"/>
            <rFont val="Tahoma"/>
            <family val="2"/>
          </rPr>
          <t>Tausiful Haque:</t>
        </r>
        <r>
          <rPr>
            <sz val="9"/>
            <color indexed="81"/>
            <rFont val="Tahoma"/>
            <family val="2"/>
          </rPr>
          <t xml:space="preserve">
ye 5 wa no ka dega matlab jo 5 no pe hai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Tausiful Haque</author>
  </authors>
  <commentList>
    <comment ref="A1" authorId="0" shapeId="0" xr:uid="{541346C9-C529-40EC-B430-3FCB174FD4B8}">
      <text>
        <r>
          <rPr>
            <b/>
            <sz val="9"/>
            <color indexed="81"/>
            <rFont val="Tahoma"/>
            <family val="2"/>
          </rPr>
          <t>Tausiful Haque:</t>
        </r>
        <r>
          <rPr>
            <sz val="9"/>
            <color indexed="81"/>
            <rFont val="Tahoma"/>
            <family val="2"/>
          </rPr>
          <t xml:space="preserve">
Remove extra space TRIM+UPPER
</t>
        </r>
      </text>
    </comment>
    <comment ref="E1" authorId="0" shapeId="0" xr:uid="{760916A6-BABB-4A7E-BB20-E17904DA1022}">
      <text>
        <r>
          <rPr>
            <b/>
            <sz val="9"/>
            <color indexed="81"/>
            <rFont val="Tahoma"/>
            <family val="2"/>
          </rPr>
          <t>Tausiful Haque:</t>
        </r>
        <r>
          <rPr>
            <sz val="9"/>
            <color indexed="81"/>
            <rFont val="Tahoma"/>
            <family val="2"/>
          </rPr>
          <t xml:space="preserve">
Jaha blanck hai waha pe TODAY() aaj ka date aa jayega</t>
        </r>
      </text>
    </comment>
    <comment ref="I1" authorId="0" shapeId="0" xr:uid="{A01A474C-85B0-44AB-BFB7-ECC20A908575}">
      <text>
        <r>
          <rPr>
            <b/>
            <sz val="9"/>
            <color indexed="81"/>
            <rFont val="Tahoma"/>
            <family val="2"/>
          </rPr>
          <t>Tausiful Haque:</t>
        </r>
        <r>
          <rPr>
            <sz val="9"/>
            <color indexed="81"/>
            <rFont val="Tahoma"/>
            <family val="2"/>
          </rPr>
          <t xml:space="preserve">
Below 20,000
20,000 – 40,000
40,001 – 60,000
60,001 – 80,000
Above 80,000</t>
        </r>
      </text>
    </comment>
    <comment ref="O1" authorId="0" shapeId="0" xr:uid="{82220F48-2FDD-42EF-BA3D-684BFC051522}">
      <text>
        <r>
          <rPr>
            <b/>
            <sz val="9"/>
            <color indexed="81"/>
            <rFont val="Tahoma"/>
            <family val="2"/>
          </rPr>
          <t>Tausiful Haque:</t>
        </r>
        <r>
          <rPr>
            <sz val="9"/>
            <color indexed="81"/>
            <rFont val="Tahoma"/>
            <family val="2"/>
          </rPr>
          <t xml:space="preserve">
Normal space nhi h isiliye SUBSTITUTE ka use hua hai aur " " Ke jagah "" use hua hai</t>
        </r>
      </text>
    </comment>
    <comment ref="Y1" authorId="0" shapeId="0" xr:uid="{E7BEA948-FF2E-4B94-A53F-41A02B6E35FB}">
      <text>
        <r>
          <rPr>
            <b/>
            <sz val="9"/>
            <color indexed="81"/>
            <rFont val="Tahoma"/>
            <family val="2"/>
          </rPr>
          <t>Tausiful Haque:</t>
        </r>
        <r>
          <rPr>
            <sz val="9"/>
            <color indexed="81"/>
            <rFont val="Tahoma"/>
            <family val="2"/>
          </rPr>
          <t xml:space="preserve">
Ye sirf 1 no ka aadmi ka salary dega matlab sbse jayada wala ka</t>
        </r>
      </text>
    </comment>
    <comment ref="Z1" authorId="0" shapeId="0" xr:uid="{1D186A1C-4120-47F1-BEDA-7880F7FACCC4}">
      <text>
        <r>
          <rPr>
            <b/>
            <sz val="9"/>
            <color indexed="81"/>
            <rFont val="Tahoma"/>
            <family val="2"/>
          </rPr>
          <t>Tausiful Haque:</t>
        </r>
        <r>
          <rPr>
            <sz val="9"/>
            <color indexed="81"/>
            <rFont val="Tahoma"/>
            <family val="2"/>
          </rPr>
          <t xml:space="preserve">
ye 5 wa no ka dega matlab jo 5 no pe hai</t>
        </r>
      </text>
    </comment>
  </commentList>
</comments>
</file>

<file path=xl/sharedStrings.xml><?xml version="1.0" encoding="utf-8"?>
<sst xmlns="http://schemas.openxmlformats.org/spreadsheetml/2006/main" count="2450" uniqueCount="968">
  <si>
    <t>Emp ID</t>
  </si>
  <si>
    <t>Emp Name</t>
  </si>
  <si>
    <t>Department</t>
  </si>
  <si>
    <t>Join Date</t>
  </si>
  <si>
    <t>End Date</t>
  </si>
  <si>
    <t>Mobile No</t>
  </si>
  <si>
    <t>Email</t>
  </si>
  <si>
    <t>Salary</t>
  </si>
  <si>
    <t>Manager ID</t>
  </si>
  <si>
    <t>Status</t>
  </si>
  <si>
    <t>EMP1</t>
  </si>
  <si>
    <t>ravi</t>
  </si>
  <si>
    <t>IT</t>
  </si>
  <si>
    <t>2022/01/17</t>
  </si>
  <si>
    <t>2025/03/04</t>
  </si>
  <si>
    <t>Amit@company.com</t>
  </si>
  <si>
    <t>M4</t>
  </si>
  <si>
    <t>RESIGNED</t>
  </si>
  <si>
    <t>EMP2</t>
  </si>
  <si>
    <t xml:space="preserve">Finance </t>
  </si>
  <si>
    <t>2023/08/13</t>
  </si>
  <si>
    <t>2023/11/15</t>
  </si>
  <si>
    <t>Pooja@company.com</t>
  </si>
  <si>
    <t>M8</t>
  </si>
  <si>
    <t>EMP3</t>
  </si>
  <si>
    <t>ankit</t>
  </si>
  <si>
    <t>HR</t>
  </si>
  <si>
    <t>25-11-2022</t>
  </si>
  <si>
    <t>2023/03/12</t>
  </si>
  <si>
    <t>SURESH@company.com</t>
  </si>
  <si>
    <t>M3</t>
  </si>
  <si>
    <t>On Hold</t>
  </si>
  <si>
    <t xml:space="preserve"> emp4 </t>
  </si>
  <si>
    <t>it</t>
  </si>
  <si>
    <t>2020/09/14</t>
  </si>
  <si>
    <t>2022/02/06</t>
  </si>
  <si>
    <t>neha@company.com</t>
  </si>
  <si>
    <t>Active</t>
  </si>
  <si>
    <t>EMP5</t>
  </si>
  <si>
    <t xml:space="preserve">Amit </t>
  </si>
  <si>
    <t>Sales</t>
  </si>
  <si>
    <t>2021/11/16</t>
  </si>
  <si>
    <t>20-08-2025</t>
  </si>
  <si>
    <t>ravi@company.com</t>
  </si>
  <si>
    <t>M9</t>
  </si>
  <si>
    <t xml:space="preserve">resigned </t>
  </si>
  <si>
    <t>EMP6</t>
  </si>
  <si>
    <t>Sunita</t>
  </si>
  <si>
    <t>finance</t>
  </si>
  <si>
    <t>06-10-2019</t>
  </si>
  <si>
    <t>2020/03/08</t>
  </si>
  <si>
    <t>KIRAN@company.com</t>
  </si>
  <si>
    <t>M16</t>
  </si>
  <si>
    <t>EMP7</t>
  </si>
  <si>
    <t>2021/01/18</t>
  </si>
  <si>
    <t>M2</t>
  </si>
  <si>
    <t xml:space="preserve"> emp8 </t>
  </si>
  <si>
    <t xml:space="preserve">hr </t>
  </si>
  <si>
    <t>2022/06/14</t>
  </si>
  <si>
    <t>2026/02/08</t>
  </si>
  <si>
    <t xml:space="preserve">Pooja@gmail.com </t>
  </si>
  <si>
    <t>M13</t>
  </si>
  <si>
    <t>EMP9</t>
  </si>
  <si>
    <t xml:space="preserve">Pooja </t>
  </si>
  <si>
    <t>02-02-2023</t>
  </si>
  <si>
    <t>2025/07/06</t>
  </si>
  <si>
    <t>M 13</t>
  </si>
  <si>
    <t>EMP10</t>
  </si>
  <si>
    <t>2021/08/16</t>
  </si>
  <si>
    <t>10-04-2023</t>
  </si>
  <si>
    <t>Sunita@company.com</t>
  </si>
  <si>
    <t>M14</t>
  </si>
  <si>
    <t>EMP11</t>
  </si>
  <si>
    <t>2019/02/01</t>
  </si>
  <si>
    <t>2019/08/07</t>
  </si>
  <si>
    <t>M12</t>
  </si>
  <si>
    <t xml:space="preserve"> emp12 </t>
  </si>
  <si>
    <t>08-03-2019</t>
  </si>
  <si>
    <t>2021/05/26</t>
  </si>
  <si>
    <t>M20</t>
  </si>
  <si>
    <t>EMP13</t>
  </si>
  <si>
    <t>SURESH</t>
  </si>
  <si>
    <t>2022/09/07</t>
  </si>
  <si>
    <t>2023/02/07</t>
  </si>
  <si>
    <t>ankit@company.com</t>
  </si>
  <si>
    <t>M24</t>
  </si>
  <si>
    <t>EMP14</t>
  </si>
  <si>
    <t>2020/06/09</t>
  </si>
  <si>
    <t>EMP15</t>
  </si>
  <si>
    <t>08-02-2023</t>
  </si>
  <si>
    <t>12-07-2025</t>
  </si>
  <si>
    <t xml:space="preserve"> emp16 </t>
  </si>
  <si>
    <t>2023/11/05</t>
  </si>
  <si>
    <t>2024/07/14</t>
  </si>
  <si>
    <t xml:space="preserve">SURESH@gmail.com </t>
  </si>
  <si>
    <t>EMP17</t>
  </si>
  <si>
    <t>neha</t>
  </si>
  <si>
    <t>2019/05/28</t>
  </si>
  <si>
    <t>2022/06/25</t>
  </si>
  <si>
    <t>EMP18</t>
  </si>
  <si>
    <t>27-03-2020</t>
  </si>
  <si>
    <t>2020/09/12</t>
  </si>
  <si>
    <t>M 20</t>
  </si>
  <si>
    <t>EMP19</t>
  </si>
  <si>
    <t>vikas</t>
  </si>
  <si>
    <t>2020/01/21</t>
  </si>
  <si>
    <t>2022/11/09</t>
  </si>
  <si>
    <t>vikas@company.com</t>
  </si>
  <si>
    <t>M10</t>
  </si>
  <si>
    <t xml:space="preserve"> emp20 </t>
  </si>
  <si>
    <t>2023/08/23</t>
  </si>
  <si>
    <t>23-01-2025</t>
  </si>
  <si>
    <t>EMP21</t>
  </si>
  <si>
    <t>21-07-2022</t>
  </si>
  <si>
    <t>EMP22</t>
  </si>
  <si>
    <t>RAHUL</t>
  </si>
  <si>
    <t>2022/05/04</t>
  </si>
  <si>
    <t>2024/03/26</t>
  </si>
  <si>
    <t>RAHUL@company.com</t>
  </si>
  <si>
    <t>EMP23</t>
  </si>
  <si>
    <t>2022/12/23</t>
  </si>
  <si>
    <t>2024/04/27</t>
  </si>
  <si>
    <t>M5</t>
  </si>
  <si>
    <t xml:space="preserve"> emp24 </t>
  </si>
  <si>
    <t>31-05-2021</t>
  </si>
  <si>
    <t>2025/03/25</t>
  </si>
  <si>
    <t xml:space="preserve">neha@gmail.com </t>
  </si>
  <si>
    <t>M19</t>
  </si>
  <si>
    <t>EMP25</t>
  </si>
  <si>
    <t xml:space="preserve">sales </t>
  </si>
  <si>
    <t>2019/11/12</t>
  </si>
  <si>
    <t>23-06-2021</t>
  </si>
  <si>
    <t>EMP26</t>
  </si>
  <si>
    <t>2019/04/07</t>
  </si>
  <si>
    <t>2021/07/15</t>
  </si>
  <si>
    <t>M15</t>
  </si>
  <si>
    <t>EMP27</t>
  </si>
  <si>
    <t>26-03-2023</t>
  </si>
  <si>
    <t>2026/11/26</t>
  </si>
  <si>
    <t>M 25</t>
  </si>
  <si>
    <t xml:space="preserve"> emp28 </t>
  </si>
  <si>
    <t>2021/05/14</t>
  </si>
  <si>
    <t>M23</t>
  </si>
  <si>
    <t>EMP29</t>
  </si>
  <si>
    <t>2021/06/05</t>
  </si>
  <si>
    <t>2025/01/01</t>
  </si>
  <si>
    <t>EMP30</t>
  </si>
  <si>
    <t>26-01-2019</t>
  </si>
  <si>
    <t>10-02-2022</t>
  </si>
  <si>
    <t xml:space="preserve">active </t>
  </si>
  <si>
    <t>EMP31</t>
  </si>
  <si>
    <t>2023/09/06</t>
  </si>
  <si>
    <t>2027/07/07</t>
  </si>
  <si>
    <t xml:space="preserve"> emp32 </t>
  </si>
  <si>
    <t>2023/11/02</t>
  </si>
  <si>
    <t>2026/10/28</t>
  </si>
  <si>
    <t>M6</t>
  </si>
  <si>
    <t>EMP33</t>
  </si>
  <si>
    <t>20-11-2020</t>
  </si>
  <si>
    <t>2022/09/25</t>
  </si>
  <si>
    <t>EMP34</t>
  </si>
  <si>
    <t>KIRAN</t>
  </si>
  <si>
    <t>2023/04/23</t>
  </si>
  <si>
    <t>2025/09/06</t>
  </si>
  <si>
    <t>EMP35</t>
  </si>
  <si>
    <t>2023/04/03</t>
  </si>
  <si>
    <t>M7</t>
  </si>
  <si>
    <t xml:space="preserve"> emp36 </t>
  </si>
  <si>
    <t>09-12-2020</t>
  </si>
  <si>
    <t>2023/05/07</t>
  </si>
  <si>
    <t>M 16</t>
  </si>
  <si>
    <t>EMP37</t>
  </si>
  <si>
    <t>2019/07/06</t>
  </si>
  <si>
    <t>2021/03/21</t>
  </si>
  <si>
    <t>EMP38</t>
  </si>
  <si>
    <t>2021/02/07</t>
  </si>
  <si>
    <t>2021/07/26</t>
  </si>
  <si>
    <t>EMP39</t>
  </si>
  <si>
    <t>15-06-2020</t>
  </si>
  <si>
    <t>2022/07/07</t>
  </si>
  <si>
    <t xml:space="preserve"> emp40 </t>
  </si>
  <si>
    <t>2019/05/10</t>
  </si>
  <si>
    <t>07-02-2020</t>
  </si>
  <si>
    <t>EMP41</t>
  </si>
  <si>
    <t>2022/05/13</t>
  </si>
  <si>
    <t>2022/08/03</t>
  </si>
  <si>
    <t>M11</t>
  </si>
  <si>
    <t>EMP42</t>
  </si>
  <si>
    <t>13-05-2020</t>
  </si>
  <si>
    <t>EMP43</t>
  </si>
  <si>
    <t>2020/05/12</t>
  </si>
  <si>
    <t>2022/08/08</t>
  </si>
  <si>
    <t xml:space="preserve"> emp44 </t>
  </si>
  <si>
    <t>2019/02/13</t>
  </si>
  <si>
    <t>2021/03/01</t>
  </si>
  <si>
    <t>EMP45</t>
  </si>
  <si>
    <t>13-03-2023</t>
  </si>
  <si>
    <t>10-11-2024</t>
  </si>
  <si>
    <t>M 21</t>
  </si>
  <si>
    <t>EMP46</t>
  </si>
  <si>
    <t>2021/09/23</t>
  </si>
  <si>
    <t>2023/01/02</t>
  </si>
  <si>
    <t>EMP47</t>
  </si>
  <si>
    <t>2022/09/27</t>
  </si>
  <si>
    <t>2025/11/15</t>
  </si>
  <si>
    <t>M21</t>
  </si>
  <si>
    <t xml:space="preserve"> emp48 </t>
  </si>
  <si>
    <t>14-09-2023</t>
  </si>
  <si>
    <t>2027/04/15</t>
  </si>
  <si>
    <t xml:space="preserve">Sunita@gmail.com </t>
  </si>
  <si>
    <t>EMP49</t>
  </si>
  <si>
    <t>2020/06/23</t>
  </si>
  <si>
    <t>M18</t>
  </si>
  <si>
    <t>EMP50</t>
  </si>
  <si>
    <t>2019/01/01</t>
  </si>
  <si>
    <t>17-04-2021</t>
  </si>
  <si>
    <t>EMP51</t>
  </si>
  <si>
    <t>11-07-2021</t>
  </si>
  <si>
    <t>2023/01/04</t>
  </si>
  <si>
    <t xml:space="preserve"> emp52 </t>
  </si>
  <si>
    <t>2021/12/18</t>
  </si>
  <si>
    <t>2022/06/10</t>
  </si>
  <si>
    <t>EMP53</t>
  </si>
  <si>
    <t>2021/02/14</t>
  </si>
  <si>
    <t>2023/12/28</t>
  </si>
  <si>
    <t>EMP54</t>
  </si>
  <si>
    <t>22-11-2021</t>
  </si>
  <si>
    <t>2024/01/12</t>
  </si>
  <si>
    <t>M 15</t>
  </si>
  <si>
    <t>EMP55</t>
  </si>
  <si>
    <t>2022/08/05</t>
  </si>
  <si>
    <t>24-07-2026</t>
  </si>
  <si>
    <t xml:space="preserve"> emp56 </t>
  </si>
  <si>
    <t>2023/10/04</t>
  </si>
  <si>
    <t xml:space="preserve">Amit@gmail.com </t>
  </si>
  <si>
    <t>M25</t>
  </si>
  <si>
    <t>EMP57</t>
  </si>
  <si>
    <t>17-07-2019</t>
  </si>
  <si>
    <t>2023/07/11</t>
  </si>
  <si>
    <t>EMP58</t>
  </si>
  <si>
    <t>2020/08/29</t>
  </si>
  <si>
    <t>2021/11/11</t>
  </si>
  <si>
    <t>M17</t>
  </si>
  <si>
    <t>EMP59</t>
  </si>
  <si>
    <t>2020/12/18</t>
  </si>
  <si>
    <t>2023/09/12</t>
  </si>
  <si>
    <t xml:space="preserve"> emp60 </t>
  </si>
  <si>
    <t>17-06-2025</t>
  </si>
  <si>
    <t>EMP61</t>
  </si>
  <si>
    <t>2020/01/16</t>
  </si>
  <si>
    <t>EMP62</t>
  </si>
  <si>
    <t>2020/09/11</t>
  </si>
  <si>
    <t>2022/09/23</t>
  </si>
  <si>
    <t>EMP63</t>
  </si>
  <si>
    <t>06-02-2019</t>
  </si>
  <si>
    <t>M 17</t>
  </si>
  <si>
    <t xml:space="preserve"> emp64 </t>
  </si>
  <si>
    <t>2020/06/11</t>
  </si>
  <si>
    <t>2023/11/30</t>
  </si>
  <si>
    <t xml:space="preserve">ankit@gmail.com </t>
  </si>
  <si>
    <t>EMP65</t>
  </si>
  <si>
    <t>2021/03/09</t>
  </si>
  <si>
    <t>09-12-2021</t>
  </si>
  <si>
    <t>EMP66</t>
  </si>
  <si>
    <t>09-03-2023</t>
  </si>
  <si>
    <t>2023/11/24</t>
  </si>
  <si>
    <t>EMP67</t>
  </si>
  <si>
    <t>2019/12/30</t>
  </si>
  <si>
    <t>2021/03/10</t>
  </si>
  <si>
    <t xml:space="preserve"> emp68 </t>
  </si>
  <si>
    <t>2019/05/29</t>
  </si>
  <si>
    <t>2020/03/16</t>
  </si>
  <si>
    <t>EMP69</t>
  </si>
  <si>
    <t>09-11-2019</t>
  </si>
  <si>
    <t>2020/08/18</t>
  </si>
  <si>
    <t>EMP70</t>
  </si>
  <si>
    <t>2019/08/11</t>
  </si>
  <si>
    <t>EMP71</t>
  </si>
  <si>
    <t>2020/05/24</t>
  </si>
  <si>
    <t>2021/11/10</t>
  </si>
  <si>
    <t xml:space="preserve"> emp72 </t>
  </si>
  <si>
    <t>08-02-2021</t>
  </si>
  <si>
    <t>2022/11/13</t>
  </si>
  <si>
    <t xml:space="preserve">ravi@gmail.com </t>
  </si>
  <si>
    <t>M 9</t>
  </si>
  <si>
    <t>EMP73</t>
  </si>
  <si>
    <t>2022/06/12</t>
  </si>
  <si>
    <t>2025/12/22</t>
  </si>
  <si>
    <t>EMP74</t>
  </si>
  <si>
    <t>2022/03/16</t>
  </si>
  <si>
    <t>2022/10/06</t>
  </si>
  <si>
    <t>EMP75</t>
  </si>
  <si>
    <t>01-09-2019</t>
  </si>
  <si>
    <t>28-01-2023</t>
  </si>
  <si>
    <t xml:space="preserve"> emp76 </t>
  </si>
  <si>
    <t>2023/05/19</t>
  </si>
  <si>
    <t>2027/02/14</t>
  </si>
  <si>
    <t>EMP77</t>
  </si>
  <si>
    <t>2020/05/01</t>
  </si>
  <si>
    <t>EMP78</t>
  </si>
  <si>
    <t>02-10-2022</t>
  </si>
  <si>
    <t>2025/12/17</t>
  </si>
  <si>
    <t>EMP79</t>
  </si>
  <si>
    <t>2020/03/28</t>
  </si>
  <si>
    <t>2023/05/28</t>
  </si>
  <si>
    <t xml:space="preserve"> emp80 </t>
  </si>
  <si>
    <t>2019/04/19</t>
  </si>
  <si>
    <t>31-12-2019</t>
  </si>
  <si>
    <t>EMP81</t>
  </si>
  <si>
    <t>28-09-2020</t>
  </si>
  <si>
    <t>2024/04/13</t>
  </si>
  <si>
    <t>EMP82</t>
  </si>
  <si>
    <t>2020/12/02</t>
  </si>
  <si>
    <t>2021/02/23</t>
  </si>
  <si>
    <t>EMP83</t>
  </si>
  <si>
    <t>2021/07/25</t>
  </si>
  <si>
    <t>2023/09/14</t>
  </si>
  <si>
    <t xml:space="preserve"> emp84 </t>
  </si>
  <si>
    <t>11-11-2020</t>
  </si>
  <si>
    <t>EMP85</t>
  </si>
  <si>
    <t>2021/03/04</t>
  </si>
  <si>
    <t>07-01-2023</t>
  </si>
  <si>
    <t>EMP86</t>
  </si>
  <si>
    <t>2019/12/10</t>
  </si>
  <si>
    <t>2022/10/24</t>
  </si>
  <si>
    <t>EMP87</t>
  </si>
  <si>
    <t>14-11-2019</t>
  </si>
  <si>
    <t xml:space="preserve"> emp88 </t>
  </si>
  <si>
    <t>2025/01/19</t>
  </si>
  <si>
    <t>EMP89</t>
  </si>
  <si>
    <t>2022/12/28</t>
  </si>
  <si>
    <t>2024/11/16</t>
  </si>
  <si>
    <t>EMP90</t>
  </si>
  <si>
    <t>23-11-2023</t>
  </si>
  <si>
    <t>18-09-2027</t>
  </si>
  <si>
    <t>M 19</t>
  </si>
  <si>
    <t>EMP91</t>
  </si>
  <si>
    <t>2020/12/05</t>
  </si>
  <si>
    <t xml:space="preserve"> emp92 </t>
  </si>
  <si>
    <t>2021/12/14</t>
  </si>
  <si>
    <t>2025/10/06</t>
  </si>
  <si>
    <t>M22</t>
  </si>
  <si>
    <t>EMP93</t>
  </si>
  <si>
    <t>16-11-2021</t>
  </si>
  <si>
    <t>2023/12/15</t>
  </si>
  <si>
    <t>EMP94</t>
  </si>
  <si>
    <t>2019/06/07</t>
  </si>
  <si>
    <t>2020/06/27</t>
  </si>
  <si>
    <t>EMP95</t>
  </si>
  <si>
    <t>2023/12/03</t>
  </si>
  <si>
    <t>07-05-2026</t>
  </si>
  <si>
    <t xml:space="preserve"> emp96 </t>
  </si>
  <si>
    <t>06-03-2021</t>
  </si>
  <si>
    <t>2024/07/17</t>
  </si>
  <si>
    <t>EMP97</t>
  </si>
  <si>
    <t>2023/01/05</t>
  </si>
  <si>
    <t>2026/09/18</t>
  </si>
  <si>
    <t>EMP98</t>
  </si>
  <si>
    <t>M1</t>
  </si>
  <si>
    <t>EMP99</t>
  </si>
  <si>
    <t>17-06-2020</t>
  </si>
  <si>
    <t>2024/07/02</t>
  </si>
  <si>
    <t>M 3</t>
  </si>
  <si>
    <t xml:space="preserve"> emp100 </t>
  </si>
  <si>
    <t>2023/05/18</t>
  </si>
  <si>
    <t>14-08-2025</t>
  </si>
  <si>
    <t>EMP101</t>
  </si>
  <si>
    <t>2023/09/10</t>
  </si>
  <si>
    <t>2026/12/25</t>
  </si>
  <si>
    <t>EMP102</t>
  </si>
  <si>
    <t>02-12-2021</t>
  </si>
  <si>
    <t>2025/05/24</t>
  </si>
  <si>
    <t>EMP103</t>
  </si>
  <si>
    <t>2022/06/28</t>
  </si>
  <si>
    <t>2026/01/25</t>
  </si>
  <si>
    <t xml:space="preserve"> emp104 </t>
  </si>
  <si>
    <t>2020/03/14</t>
  </si>
  <si>
    <t>2021/04/24</t>
  </si>
  <si>
    <t>EMP105</t>
  </si>
  <si>
    <t>22-02-2023</t>
  </si>
  <si>
    <t>EMP106</t>
  </si>
  <si>
    <t>2021/10/08</t>
  </si>
  <si>
    <t>2023/07/17</t>
  </si>
  <si>
    <t>EMP107</t>
  </si>
  <si>
    <t>2022/07/13</t>
  </si>
  <si>
    <t>2024/10/23</t>
  </si>
  <si>
    <t xml:space="preserve"> emp108 </t>
  </si>
  <si>
    <t>01-11-2019</t>
  </si>
  <si>
    <t>2021/12/19</t>
  </si>
  <si>
    <t>EMP109</t>
  </si>
  <si>
    <t>2021/05/03</t>
  </si>
  <si>
    <t>2023/02/23</t>
  </si>
  <si>
    <t>EMP110</t>
  </si>
  <si>
    <t>2022/04/21</t>
  </si>
  <si>
    <t>18-06-2023</t>
  </si>
  <si>
    <t>EMP111</t>
  </si>
  <si>
    <t>23-03-2020</t>
  </si>
  <si>
    <t>2023/06/26</t>
  </si>
  <si>
    <t xml:space="preserve"> emp112 </t>
  </si>
  <si>
    <t>2021/12/04</t>
  </si>
  <si>
    <t xml:space="preserve">KIRAN@gmail.com </t>
  </si>
  <si>
    <t>EMP113</t>
  </si>
  <si>
    <t>2019/10/11</t>
  </si>
  <si>
    <t>2021/08/07</t>
  </si>
  <si>
    <t>EMP114</t>
  </si>
  <si>
    <t>03-05-2019</t>
  </si>
  <si>
    <t>2020/11/28</t>
  </si>
  <si>
    <t>EMP115</t>
  </si>
  <si>
    <t>2019/08/20</t>
  </si>
  <si>
    <t>05-05-2020</t>
  </si>
  <si>
    <t xml:space="preserve"> emp116 </t>
  </si>
  <si>
    <t>2022/06/27</t>
  </si>
  <si>
    <t>EMP117</t>
  </si>
  <si>
    <t>04-01-2022</t>
  </si>
  <si>
    <t>2025/02/25</t>
  </si>
  <si>
    <t>EMP118</t>
  </si>
  <si>
    <t>2020/04/19</t>
  </si>
  <si>
    <t>2021/11/29</t>
  </si>
  <si>
    <t>EMP119</t>
  </si>
  <si>
    <t>2022/05/16</t>
  </si>
  <si>
    <t xml:space="preserve"> emp120 </t>
  </si>
  <si>
    <t>10-08-2022</t>
  </si>
  <si>
    <t>23-04-2026</t>
  </si>
  <si>
    <t>EMP121</t>
  </si>
  <si>
    <t>2019/03/05</t>
  </si>
  <si>
    <t>2020/06/29</t>
  </si>
  <si>
    <t>EMP122</t>
  </si>
  <si>
    <t>2020/08/16</t>
  </si>
  <si>
    <t>2020/11/29</t>
  </si>
  <si>
    <t>EMP123</t>
  </si>
  <si>
    <t>24-08-2023</t>
  </si>
  <si>
    <t>2027/01/25</t>
  </si>
  <si>
    <t xml:space="preserve"> emp124 </t>
  </si>
  <si>
    <t>2019/07/29</t>
  </si>
  <si>
    <t>2020/08/17</t>
  </si>
  <si>
    <t>EMP125</t>
  </si>
  <si>
    <t>2022/07/15</t>
  </si>
  <si>
    <t>14-08-2026</t>
  </si>
  <si>
    <t>EMP126</t>
  </si>
  <si>
    <t>03-03-2020</t>
  </si>
  <si>
    <t>M 5</t>
  </si>
  <si>
    <t>EMP127</t>
  </si>
  <si>
    <t>2023/09/11</t>
  </si>
  <si>
    <t>2025/06/25</t>
  </si>
  <si>
    <t xml:space="preserve"> emp128 </t>
  </si>
  <si>
    <t>2022/02/24</t>
  </si>
  <si>
    <t>2025/11/01</t>
  </si>
  <si>
    <t>EMP129</t>
  </si>
  <si>
    <t>21-07-2019</t>
  </si>
  <si>
    <t>2020/10/30</t>
  </si>
  <si>
    <t>EMP130</t>
  </si>
  <si>
    <t>2022/10/02</t>
  </si>
  <si>
    <t>05-08-2026</t>
  </si>
  <si>
    <t>EMP131</t>
  </si>
  <si>
    <t>2021/08/29</t>
  </si>
  <si>
    <t>2022/06/03</t>
  </si>
  <si>
    <t xml:space="preserve"> emp132 </t>
  </si>
  <si>
    <t>27-07-2023</t>
  </si>
  <si>
    <t>2027/06/29</t>
  </si>
  <si>
    <t>EMP133</t>
  </si>
  <si>
    <t>2022/02/08</t>
  </si>
  <si>
    <t>EMP134</t>
  </si>
  <si>
    <t>2020/07/07</t>
  </si>
  <si>
    <t>2021/01/21</t>
  </si>
  <si>
    <t>EMP135</t>
  </si>
  <si>
    <t>24-07-2021</t>
  </si>
  <si>
    <t>15-05-2024</t>
  </si>
  <si>
    <t>M 24</t>
  </si>
  <si>
    <t xml:space="preserve"> emp136 </t>
  </si>
  <si>
    <t>2022/01/02</t>
  </si>
  <si>
    <t>EMP137</t>
  </si>
  <si>
    <t>2019/06/29</t>
  </si>
  <si>
    <t>2022/02/25</t>
  </si>
  <si>
    <t>EMP138</t>
  </si>
  <si>
    <t>21-03-2023</t>
  </si>
  <si>
    <t>2024/09/24</t>
  </si>
  <si>
    <t>EMP139</t>
  </si>
  <si>
    <t>2023/02/09</t>
  </si>
  <si>
    <t>2024/04/22</t>
  </si>
  <si>
    <t xml:space="preserve"> emp140 </t>
  </si>
  <si>
    <t>2022/12/11</t>
  </si>
  <si>
    <t>EMP141</t>
  </si>
  <si>
    <t>2024/02/19</t>
  </si>
  <si>
    <t>EMP142</t>
  </si>
  <si>
    <t>2020/04/22</t>
  </si>
  <si>
    <t>2024/02/24</t>
  </si>
  <si>
    <t>EMP143</t>
  </si>
  <si>
    <t>2023/08/04</t>
  </si>
  <si>
    <t>2023/11/29</t>
  </si>
  <si>
    <t xml:space="preserve"> emp144 </t>
  </si>
  <si>
    <t>14-02-2019</t>
  </si>
  <si>
    <t>2021/12/30</t>
  </si>
  <si>
    <t>M 23</t>
  </si>
  <si>
    <t>EMP145</t>
  </si>
  <si>
    <t>2019/02/24</t>
  </si>
  <si>
    <t>07-06-2020</t>
  </si>
  <si>
    <t>EMP146</t>
  </si>
  <si>
    <t>2020/08/23</t>
  </si>
  <si>
    <t>2023/08/11</t>
  </si>
  <si>
    <t>EMP147</t>
  </si>
  <si>
    <t>11-12-2019</t>
  </si>
  <si>
    <t xml:space="preserve"> emp148 </t>
  </si>
  <si>
    <t>2023/01/13</t>
  </si>
  <si>
    <t>EMP149</t>
  </si>
  <si>
    <t>2020/03/21</t>
  </si>
  <si>
    <t>2021/04/29</t>
  </si>
  <si>
    <t>EMP150</t>
  </si>
  <si>
    <t>23-08-2020</t>
  </si>
  <si>
    <t>15-10-2023</t>
  </si>
  <si>
    <t>EMP151</t>
  </si>
  <si>
    <t>2022/02/26</t>
  </si>
  <si>
    <t xml:space="preserve"> emp152 </t>
  </si>
  <si>
    <t>2021/04/26</t>
  </si>
  <si>
    <t>2023/09/26</t>
  </si>
  <si>
    <t xml:space="preserve">vikas@gmail.com </t>
  </si>
  <si>
    <t>EMP153</t>
  </si>
  <si>
    <t>17-07-2020</t>
  </si>
  <si>
    <t>2021/05/08</t>
  </si>
  <si>
    <t>M 12</t>
  </si>
  <si>
    <t>EMP154</t>
  </si>
  <si>
    <t>2019/06/05</t>
  </si>
  <si>
    <t>EMP155</t>
  </si>
  <si>
    <t>2022/03/04</t>
  </si>
  <si>
    <t>20-09-2024</t>
  </si>
  <si>
    <t xml:space="preserve"> emp156 </t>
  </si>
  <si>
    <t>24-06-2021</t>
  </si>
  <si>
    <t>2024/04/18</t>
  </si>
  <si>
    <t>EMP157</t>
  </si>
  <si>
    <t>2023/10/07</t>
  </si>
  <si>
    <t>2026/05/06</t>
  </si>
  <si>
    <t>EMP158</t>
  </si>
  <si>
    <t>2021/02/19</t>
  </si>
  <si>
    <t>2021/06/13</t>
  </si>
  <si>
    <t>EMP159</t>
  </si>
  <si>
    <t>17-08-2021</t>
  </si>
  <si>
    <t>2022/07/24</t>
  </si>
  <si>
    <t xml:space="preserve"> emp160 </t>
  </si>
  <si>
    <t>24-04-2023</t>
  </si>
  <si>
    <t>EMP161</t>
  </si>
  <si>
    <t>EMP162</t>
  </si>
  <si>
    <t>2024/09/21</t>
  </si>
  <si>
    <t>EMP163</t>
  </si>
  <si>
    <t>2022/05/20</t>
  </si>
  <si>
    <t>2024/12/12</t>
  </si>
  <si>
    <t xml:space="preserve"> emp164 </t>
  </si>
  <si>
    <t>2022/08/20</t>
  </si>
  <si>
    <t>2025/02/12</t>
  </si>
  <si>
    <t>EMP165</t>
  </si>
  <si>
    <t>01-12-2020</t>
  </si>
  <si>
    <t>15-10-2024</t>
  </si>
  <si>
    <t>EMP166</t>
  </si>
  <si>
    <t>2020/03/22</t>
  </si>
  <si>
    <t>2022/06/19</t>
  </si>
  <si>
    <t>EMP167</t>
  </si>
  <si>
    <t>2022/08/26</t>
  </si>
  <si>
    <t>2025/11/10</t>
  </si>
  <si>
    <t xml:space="preserve"> emp168 </t>
  </si>
  <si>
    <t>01-04-2020</t>
  </si>
  <si>
    <t>EMP169</t>
  </si>
  <si>
    <t>2023/11/19</t>
  </si>
  <si>
    <t>2025/05/15</t>
  </si>
  <si>
    <t>EMP170</t>
  </si>
  <si>
    <t>2023/09/15</t>
  </si>
  <si>
    <t>31-01-2024</t>
  </si>
  <si>
    <t>EMP171</t>
  </si>
  <si>
    <t>14-04-2023</t>
  </si>
  <si>
    <t>2026/10/31</t>
  </si>
  <si>
    <t>M 10</t>
  </si>
  <si>
    <t xml:space="preserve"> emp172 </t>
  </si>
  <si>
    <t>2020/12/06</t>
  </si>
  <si>
    <t>2021/07/04</t>
  </si>
  <si>
    <t>EMP173</t>
  </si>
  <si>
    <t>2020/11/15</t>
  </si>
  <si>
    <t>EMP174</t>
  </si>
  <si>
    <t>17-06-2023</t>
  </si>
  <si>
    <t>2026/09/09</t>
  </si>
  <si>
    <t>EMP175</t>
  </si>
  <si>
    <t>2019/03/03</t>
  </si>
  <si>
    <t xml:space="preserve"> emp176 </t>
  </si>
  <si>
    <t>2021/03/29</t>
  </si>
  <si>
    <t>2025/04/03</t>
  </si>
  <si>
    <t>EMP177</t>
  </si>
  <si>
    <t>2021/04/27</t>
  </si>
  <si>
    <t>EMP178</t>
  </si>
  <si>
    <t>2021/03/13</t>
  </si>
  <si>
    <t>2022/09/17</t>
  </si>
  <si>
    <t>EMP179</t>
  </si>
  <si>
    <t>2022/07/08</t>
  </si>
  <si>
    <t>2025/02/10</t>
  </si>
  <si>
    <t xml:space="preserve"> emp180 </t>
  </si>
  <si>
    <t>14-10-2021</t>
  </si>
  <si>
    <t>18-09-2022</t>
  </si>
  <si>
    <t>EMP181</t>
  </si>
  <si>
    <t>2020/05/20</t>
  </si>
  <si>
    <t>EMP182</t>
  </si>
  <si>
    <t>2023/01/21</t>
  </si>
  <si>
    <t>EMP183</t>
  </si>
  <si>
    <t>25-09-2023</t>
  </si>
  <si>
    <t>2025/07/10</t>
  </si>
  <si>
    <t xml:space="preserve"> emp184 </t>
  </si>
  <si>
    <t>2019/01/04</t>
  </si>
  <si>
    <t>2019/07/15</t>
  </si>
  <si>
    <t>EMP185</t>
  </si>
  <si>
    <t>2019/01/17</t>
  </si>
  <si>
    <t>27-07-2020</t>
  </si>
  <si>
    <t>EMP186</t>
  </si>
  <si>
    <t>16-12-2022</t>
  </si>
  <si>
    <t>2023/06/14</t>
  </si>
  <si>
    <t>EMP187</t>
  </si>
  <si>
    <t>2022/07/17</t>
  </si>
  <si>
    <t>2023/05/24</t>
  </si>
  <si>
    <t xml:space="preserve"> emp188 </t>
  </si>
  <si>
    <t>2022/05/29</t>
  </si>
  <si>
    <t>2026/04/29</t>
  </si>
  <si>
    <t>EMP189</t>
  </si>
  <si>
    <t>07-06-2022</t>
  </si>
  <si>
    <t>M 6</t>
  </si>
  <si>
    <t>EMP190</t>
  </si>
  <si>
    <t>2021/03/18</t>
  </si>
  <si>
    <t>07-08-2022</t>
  </si>
  <si>
    <t>EMP191</t>
  </si>
  <si>
    <t>2021/04/01</t>
  </si>
  <si>
    <t>2022/07/02</t>
  </si>
  <si>
    <t xml:space="preserve"> emp192 </t>
  </si>
  <si>
    <t>17-11-2022</t>
  </si>
  <si>
    <t>2023/05/14</t>
  </si>
  <si>
    <t>EMP193</t>
  </si>
  <si>
    <t>2023/11/08</t>
  </si>
  <si>
    <t>2026/07/19</t>
  </si>
  <si>
    <t>EMP194</t>
  </si>
  <si>
    <t>2019/12/31</t>
  </si>
  <si>
    <t>2023/01/27</t>
  </si>
  <si>
    <t>EMP195</t>
  </si>
  <si>
    <t>11-09-2023</t>
  </si>
  <si>
    <t>21-07-2025</t>
  </si>
  <si>
    <t xml:space="preserve"> emp196 </t>
  </si>
  <si>
    <t>2023/08/26</t>
  </si>
  <si>
    <t>EMP197</t>
  </si>
  <si>
    <t>2023/07/22</t>
  </si>
  <si>
    <t>2027/05/11</t>
  </si>
  <si>
    <t>EMP198</t>
  </si>
  <si>
    <t>02-07-2023</t>
  </si>
  <si>
    <t>2025/11/26</t>
  </si>
  <si>
    <t>M 11</t>
  </si>
  <si>
    <t>EMP199</t>
  </si>
  <si>
    <t>2023/07/10</t>
  </si>
  <si>
    <t>2027/06/10</t>
  </si>
  <si>
    <t xml:space="preserve"> emp200 </t>
  </si>
  <si>
    <t>2021/11/15</t>
  </si>
  <si>
    <t>04-02-2022</t>
  </si>
  <si>
    <t xml:space="preserve">RAHUL@gmail.com </t>
  </si>
  <si>
    <t>EMP201</t>
  </si>
  <si>
    <t>11-11-2019</t>
  </si>
  <si>
    <t>2023/11/06</t>
  </si>
  <si>
    <t>EMP202</t>
  </si>
  <si>
    <t>2022/01/04</t>
  </si>
  <si>
    <t>2024/09/20</t>
  </si>
  <si>
    <t>EMP203</t>
  </si>
  <si>
    <t>2019/01/24</t>
  </si>
  <si>
    <t xml:space="preserve"> emp204 </t>
  </si>
  <si>
    <t>28-10-2021</t>
  </si>
  <si>
    <t>2023/05/12</t>
  </si>
  <si>
    <t>EMP205</t>
  </si>
  <si>
    <t>2021/04/10</t>
  </si>
  <si>
    <t>19-05-2023</t>
  </si>
  <si>
    <t>EMP206</t>
  </si>
  <si>
    <t>2019/11/03</t>
  </si>
  <si>
    <t>2020/10/10</t>
  </si>
  <si>
    <t>EMP207</t>
  </si>
  <si>
    <t>05-10-2022</t>
  </si>
  <si>
    <t>2023/02/25</t>
  </si>
  <si>
    <t>M 14</t>
  </si>
  <si>
    <t xml:space="preserve"> emp208 </t>
  </si>
  <si>
    <t>2023/03/22</t>
  </si>
  <si>
    <t>2025/08/17</t>
  </si>
  <si>
    <t>EMP209</t>
  </si>
  <si>
    <t>2023/03/29</t>
  </si>
  <si>
    <t>2025/09/11</t>
  </si>
  <si>
    <t>EMP210</t>
  </si>
  <si>
    <t>21-11-2022</t>
  </si>
  <si>
    <t>EMP211</t>
  </si>
  <si>
    <t>2023/05/21</t>
  </si>
  <si>
    <t>2024/10/27</t>
  </si>
  <si>
    <t xml:space="preserve"> emp212 </t>
  </si>
  <si>
    <t>2022/09/08</t>
  </si>
  <si>
    <t>2024/04/06</t>
  </si>
  <si>
    <t>EMP213</t>
  </si>
  <si>
    <t>12-07-2021</t>
  </si>
  <si>
    <t>2024/10/04</t>
  </si>
  <si>
    <t>EMP214</t>
  </si>
  <si>
    <t>2019/05/20</t>
  </si>
  <si>
    <t>2020/07/28</t>
  </si>
  <si>
    <t>EMP215</t>
  </si>
  <si>
    <t>2021/06/19</t>
  </si>
  <si>
    <t>01-06-2023</t>
  </si>
  <si>
    <t xml:space="preserve"> emp216 </t>
  </si>
  <si>
    <t>07-08-2020</t>
  </si>
  <si>
    <t>2021/12/17</t>
  </si>
  <si>
    <t>M 7</t>
  </si>
  <si>
    <t>EMP217</t>
  </si>
  <si>
    <t>2022/07/01</t>
  </si>
  <si>
    <t>EMP218</t>
  </si>
  <si>
    <t>2020/10/18</t>
  </si>
  <si>
    <t>2021/10/28</t>
  </si>
  <si>
    <t>EMP219</t>
  </si>
  <si>
    <t>13-02-2021</t>
  </si>
  <si>
    <t>2023/04/09</t>
  </si>
  <si>
    <t xml:space="preserve"> emp220 </t>
  </si>
  <si>
    <t>2019/12/22</t>
  </si>
  <si>
    <t>14-12-2023</t>
  </si>
  <si>
    <t>EMP221</t>
  </si>
  <si>
    <t>2023/06/13</t>
  </si>
  <si>
    <t>EMP222</t>
  </si>
  <si>
    <t>26-07-2021</t>
  </si>
  <si>
    <t>2025/03/26</t>
  </si>
  <si>
    <t>EMP223</t>
  </si>
  <si>
    <t>2024/03/23</t>
  </si>
  <si>
    <t xml:space="preserve"> emp224 </t>
  </si>
  <si>
    <t>2022/05/03</t>
  </si>
  <si>
    <t>EMP225</t>
  </si>
  <si>
    <t>19-03-2022</t>
  </si>
  <si>
    <t>25-07-2025</t>
  </si>
  <si>
    <t>EMP226</t>
  </si>
  <si>
    <t>2021/06/28</t>
  </si>
  <si>
    <t>2023/08/07</t>
  </si>
  <si>
    <t>EMP227</t>
  </si>
  <si>
    <t>2021/12/26</t>
  </si>
  <si>
    <t>2024/10/30</t>
  </si>
  <si>
    <t xml:space="preserve"> emp228 </t>
  </si>
  <si>
    <t>30-01-2020</t>
  </si>
  <si>
    <t>2021/04/07</t>
  </si>
  <si>
    <t>EMP229</t>
  </si>
  <si>
    <t>2019/05/03</t>
  </si>
  <si>
    <t>2023/01/14</t>
  </si>
  <si>
    <t>EMP230</t>
  </si>
  <si>
    <t>2021/06/12</t>
  </si>
  <si>
    <t>27-03-2023</t>
  </si>
  <si>
    <t>EMP231</t>
  </si>
  <si>
    <t>14-09-2022</t>
  </si>
  <si>
    <t xml:space="preserve"> emp232 </t>
  </si>
  <si>
    <t>2021/01/03</t>
  </si>
  <si>
    <t>2022/08/15</t>
  </si>
  <si>
    <t>EMP233</t>
  </si>
  <si>
    <t>2023/04/27</t>
  </si>
  <si>
    <t>2023/08/10</t>
  </si>
  <si>
    <t>EMP234</t>
  </si>
  <si>
    <t>29-03-2023</t>
  </si>
  <si>
    <t>M 1</t>
  </si>
  <si>
    <t>EMP235</t>
  </si>
  <si>
    <t>2020/02/02</t>
  </si>
  <si>
    <t>21-01-2021</t>
  </si>
  <si>
    <t xml:space="preserve"> emp236 </t>
  </si>
  <si>
    <t>2019/01/12</t>
  </si>
  <si>
    <t>2021/11/12</t>
  </si>
  <si>
    <t>EMP237</t>
  </si>
  <si>
    <t>05-02-2019</t>
  </si>
  <si>
    <t>2021/04/02</t>
  </si>
  <si>
    <t>EMP238</t>
  </si>
  <si>
    <t>2023/06/27</t>
  </si>
  <si>
    <t>EMP239</t>
  </si>
  <si>
    <t>2019/06/08</t>
  </si>
  <si>
    <t>2023/03/20</t>
  </si>
  <si>
    <t xml:space="preserve"> emp240 </t>
  </si>
  <si>
    <t>13-02-2019</t>
  </si>
  <si>
    <t>15-04-2022</t>
  </si>
  <si>
    <t>EMP241</t>
  </si>
  <si>
    <t>2020/06/05</t>
  </si>
  <si>
    <t>2023/07/12</t>
  </si>
  <si>
    <t>EMP242</t>
  </si>
  <si>
    <t>2019/04/22</t>
  </si>
  <si>
    <t>2019/09/18</t>
  </si>
  <si>
    <t>EMP243</t>
  </si>
  <si>
    <t>05-09-2023</t>
  </si>
  <si>
    <t>2026/02/13</t>
  </si>
  <si>
    <t>M 8</t>
  </si>
  <si>
    <t xml:space="preserve"> emp244 </t>
  </si>
  <si>
    <t>2023/05/10</t>
  </si>
  <si>
    <t>2026/11/18</t>
  </si>
  <si>
    <t>EMP245</t>
  </si>
  <si>
    <t>2023/03/05</t>
  </si>
  <si>
    <t>EMP246</t>
  </si>
  <si>
    <t>14-10-2020</t>
  </si>
  <si>
    <t>2021/06/23</t>
  </si>
  <si>
    <t>EMP247</t>
  </si>
  <si>
    <t>2019/03/28</t>
  </si>
  <si>
    <t>2022/12/03</t>
  </si>
  <si>
    <t xml:space="preserve"> emp248 </t>
  </si>
  <si>
    <t>2019/08/09</t>
  </si>
  <si>
    <t>EMP249</t>
  </si>
  <si>
    <t>23-02-2021</t>
  </si>
  <si>
    <t>2023/05/06</t>
  </si>
  <si>
    <t>EMP250</t>
  </si>
  <si>
    <t>2020/07/02</t>
  </si>
  <si>
    <t>09-04-2023</t>
  </si>
  <si>
    <t>EMP251</t>
  </si>
  <si>
    <t>2024/04/10</t>
  </si>
  <si>
    <t xml:space="preserve"> emp252 </t>
  </si>
  <si>
    <t>28-02-2022</t>
  </si>
  <si>
    <t>M 2</t>
  </si>
  <si>
    <t>EMP253</t>
  </si>
  <si>
    <t>2021/08/26</t>
  </si>
  <si>
    <t>2024/07/18</t>
  </si>
  <si>
    <t>EMP254</t>
  </si>
  <si>
    <t>2022/01/26</t>
  </si>
  <si>
    <t>2023/03/16</t>
  </si>
  <si>
    <t>EMP255</t>
  </si>
  <si>
    <t>10-09-2021</t>
  </si>
  <si>
    <t>03-09-2022</t>
  </si>
  <si>
    <t xml:space="preserve"> emp256 </t>
  </si>
  <si>
    <t>2023/02/16</t>
  </si>
  <si>
    <t>EMP257</t>
  </si>
  <si>
    <t>2019/03/06</t>
  </si>
  <si>
    <t>EMP258</t>
  </si>
  <si>
    <t>15-07-2019</t>
  </si>
  <si>
    <t>EMP259</t>
  </si>
  <si>
    <t>2019/04/18</t>
  </si>
  <si>
    <t xml:space="preserve"> emp260 </t>
  </si>
  <si>
    <t>2020/10/26</t>
  </si>
  <si>
    <t>22-12-2021</t>
  </si>
  <si>
    <t>EMP261</t>
  </si>
  <si>
    <t>11-03-2019</t>
  </si>
  <si>
    <t>2019/09/12</t>
  </si>
  <si>
    <t>EMP262</t>
  </si>
  <si>
    <t>2023/08/15</t>
  </si>
  <si>
    <t>EMP263</t>
  </si>
  <si>
    <t>2022/01/31</t>
  </si>
  <si>
    <t>2024/04/23</t>
  </si>
  <si>
    <t xml:space="preserve"> emp264 </t>
  </si>
  <si>
    <t>02-02-2020</t>
  </si>
  <si>
    <t>2021/07/27</t>
  </si>
  <si>
    <t>EMP265</t>
  </si>
  <si>
    <t>2023/02/28</t>
  </si>
  <si>
    <t>05-04-2024</t>
  </si>
  <si>
    <t>EMP266</t>
  </si>
  <si>
    <t>2023/12/04</t>
  </si>
  <si>
    <t>EMP267</t>
  </si>
  <si>
    <t>13-09-2019</t>
  </si>
  <si>
    <t>2023/05/29</t>
  </si>
  <si>
    <t xml:space="preserve"> emp268 </t>
  </si>
  <si>
    <t>2020/09/15</t>
  </si>
  <si>
    <t>EMP269</t>
  </si>
  <si>
    <t>2023/08/09</t>
  </si>
  <si>
    <t>2026/04/21</t>
  </si>
  <si>
    <t>EMP270</t>
  </si>
  <si>
    <t>14-09-2019</t>
  </si>
  <si>
    <t>EMP271</t>
  </si>
  <si>
    <t>2020/06/07</t>
  </si>
  <si>
    <t>2024/03/06</t>
  </si>
  <si>
    <t xml:space="preserve"> emp272 </t>
  </si>
  <si>
    <t>2020/04/13</t>
  </si>
  <si>
    <t>2020/11/30</t>
  </si>
  <si>
    <t>EMP273</t>
  </si>
  <si>
    <t>EMP274</t>
  </si>
  <si>
    <t>2022/01/11</t>
  </si>
  <si>
    <t>2025/03/07</t>
  </si>
  <si>
    <t>EMP275</t>
  </si>
  <si>
    <t>2020/06/14</t>
  </si>
  <si>
    <t>30-04-2023</t>
  </si>
  <si>
    <t xml:space="preserve"> emp276 </t>
  </si>
  <si>
    <t>12-01-2022</t>
  </si>
  <si>
    <t>2026/01/12</t>
  </si>
  <si>
    <t>EMP277</t>
  </si>
  <si>
    <t>2027/01/19</t>
  </si>
  <si>
    <t>EMP278</t>
  </si>
  <si>
    <t>2021/04/13</t>
  </si>
  <si>
    <t>2021/09/02</t>
  </si>
  <si>
    <t>EMP279</t>
  </si>
  <si>
    <t>16-03-2022</t>
  </si>
  <si>
    <t>2024/12/10</t>
  </si>
  <si>
    <t xml:space="preserve"> emp280 </t>
  </si>
  <si>
    <t>2023/03/28</t>
  </si>
  <si>
    <t>EMP281</t>
  </si>
  <si>
    <t>2023/03/27</t>
  </si>
  <si>
    <t>2024/05/21</t>
  </si>
  <si>
    <t>EMP282</t>
  </si>
  <si>
    <t>25-06-2020</t>
  </si>
  <si>
    <t>2022/08/01</t>
  </si>
  <si>
    <t>EMP283</t>
  </si>
  <si>
    <t>2019/08/17</t>
  </si>
  <si>
    <t>2020/10/15</t>
  </si>
  <si>
    <t xml:space="preserve"> emp284 </t>
  </si>
  <si>
    <t>2020/08/11</t>
  </si>
  <si>
    <t>2024/03/24</t>
  </si>
  <si>
    <t>EMP285</t>
  </si>
  <si>
    <t>02-01-2022</t>
  </si>
  <si>
    <t>27-06-2023</t>
  </si>
  <si>
    <t>EMP286</t>
  </si>
  <si>
    <t>2021/01/28</t>
  </si>
  <si>
    <t>2023/05/11</t>
  </si>
  <si>
    <t>EMP287</t>
  </si>
  <si>
    <t>2020/03/10</t>
  </si>
  <si>
    <t xml:space="preserve"> emp288 </t>
  </si>
  <si>
    <t>10-11-2020</t>
  </si>
  <si>
    <t>2021/04/09</t>
  </si>
  <si>
    <t>EMP289</t>
  </si>
  <si>
    <t>2021/04/30</t>
  </si>
  <si>
    <t>EMP290</t>
  </si>
  <si>
    <t>2020/08/13</t>
  </si>
  <si>
    <t>13-04-2024</t>
  </si>
  <si>
    <t>EMP291</t>
  </si>
  <si>
    <t>15-08-2022</t>
  </si>
  <si>
    <t>2025/08/21</t>
  </si>
  <si>
    <t xml:space="preserve"> emp292 </t>
  </si>
  <si>
    <t>2022/07/21</t>
  </si>
  <si>
    <t>EMP293</t>
  </si>
  <si>
    <t>2023/10/08</t>
  </si>
  <si>
    <t>2026/10/18</t>
  </si>
  <si>
    <t>EMP294</t>
  </si>
  <si>
    <t>30-09-2023</t>
  </si>
  <si>
    <t>EMP295</t>
  </si>
  <si>
    <t>2021/07/09</t>
  </si>
  <si>
    <t>27-01-2025</t>
  </si>
  <si>
    <t xml:space="preserve"> emp296 </t>
  </si>
  <si>
    <t>2022/02/07</t>
  </si>
  <si>
    <t>2025/03/09</t>
  </si>
  <si>
    <t>EMP297</t>
  </si>
  <si>
    <t>20-04-2020</t>
  </si>
  <si>
    <t>2023/04/12</t>
  </si>
  <si>
    <t>EMP298</t>
  </si>
  <si>
    <t>2023/06/21</t>
  </si>
  <si>
    <t>2027/01/29</t>
  </si>
  <si>
    <t>EMP299</t>
  </si>
  <si>
    <t>2023/05/25</t>
  </si>
  <si>
    <t xml:space="preserve"> emp300 </t>
  </si>
  <si>
    <t>27-02-2020</t>
  </si>
  <si>
    <t>19-11-2022</t>
  </si>
  <si>
    <t>Emp ID Clean</t>
  </si>
  <si>
    <t>Emp Name Clean</t>
  </si>
  <si>
    <t>Department Clean</t>
  </si>
  <si>
    <t>Email Clean</t>
  </si>
  <si>
    <t>Manager ID Clean</t>
  </si>
  <si>
    <t>Join Date Clean</t>
  </si>
  <si>
    <t>Status Clean</t>
  </si>
  <si>
    <t>End Date Clean</t>
  </si>
  <si>
    <t>Mobile No Clean</t>
  </si>
  <si>
    <t>Experience Days</t>
  </si>
  <si>
    <t>Experience Years</t>
  </si>
  <si>
    <t>Experience Months</t>
  </si>
  <si>
    <t>Total Resigned</t>
  </si>
  <si>
    <t>Total Active</t>
  </si>
  <si>
    <t>Total On Hold</t>
  </si>
  <si>
    <t>Salary Range</t>
  </si>
  <si>
    <t>Salary Range Count</t>
  </si>
  <si>
    <t xml:space="preserve">          Below 20K</t>
  </si>
  <si>
    <t xml:space="preserve">               20K-40K</t>
  </si>
  <si>
    <r>
      <t xml:space="preserve">             </t>
    </r>
    <r>
      <rPr>
        <b/>
        <sz val="11"/>
        <color theme="1"/>
        <rFont val="Calibri"/>
        <family val="2"/>
        <scheme val="minor"/>
      </rPr>
      <t xml:space="preserve">  40K-60K</t>
    </r>
  </si>
  <si>
    <r>
      <t xml:space="preserve">             </t>
    </r>
    <r>
      <rPr>
        <b/>
        <sz val="11"/>
        <color theme="1"/>
        <rFont val="Calibri"/>
        <family val="2"/>
        <scheme val="minor"/>
      </rPr>
      <t xml:space="preserve"> 60K-80K</t>
    </r>
  </si>
  <si>
    <t xml:space="preserve">            Above 80K</t>
  </si>
  <si>
    <t>Avg Exp Resi Emp Years</t>
  </si>
  <si>
    <t>Avg Exp Active Emp Months</t>
  </si>
  <si>
    <t>Highest 5th Salary Option 2</t>
  </si>
  <si>
    <t>Highest 1st Salary Option 1</t>
  </si>
  <si>
    <t>High Salary &amp; Low Exp Audit</t>
  </si>
  <si>
    <t>Salary Range Count
          20K-40k</t>
  </si>
  <si>
    <t>Salary Range Count
          40k-60k</t>
  </si>
  <si>
    <t>Salary Range Count
         60k-80k</t>
  </si>
  <si>
    <t>Salary Range Count
      Below 20K</t>
  </si>
  <si>
    <t>Salary Range Count
        Above 80k</t>
  </si>
  <si>
    <t>Highest 1st Salary</t>
  </si>
  <si>
    <t>Highest 5th Salary</t>
  </si>
  <si>
    <t>FINANCE</t>
  </si>
  <si>
    <t>SALES</t>
  </si>
  <si>
    <t>Grand Total</t>
  </si>
  <si>
    <t>Count of Emp ID Clean</t>
  </si>
  <si>
    <t>ACTIVE</t>
  </si>
  <si>
    <t>60K-80K</t>
  </si>
  <si>
    <t>Average of Salary</t>
  </si>
  <si>
    <t>Average of Experience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</si>
</sst>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dd\/mm\/yyyy"/>
    <numFmt numFmtId="166" formatCode="&quot;₹&quot;\ #,##0.00"/>
    <numFmt numFmtId="171" formatCode="0.0"/>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indexed="81"/>
      <name val="Tahoma"/>
      <family val="2"/>
    </font>
    <font>
      <b/>
      <sz val="9"/>
      <color indexed="81"/>
      <name val="Tahoma"/>
      <family val="2"/>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6C6"/>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3" fillId="2" borderId="1" xfId="0" applyFont="1" applyFill="1" applyBorder="1"/>
    <xf numFmtId="0" fontId="0" fillId="0" borderId="1" xfId="0" applyBorder="1"/>
    <xf numFmtId="14" fontId="0" fillId="0" borderId="1" xfId="0" applyNumberFormat="1" applyBorder="1"/>
    <xf numFmtId="14" fontId="0" fillId="0" borderId="0" xfId="0" applyNumberFormat="1"/>
    <xf numFmtId="164" fontId="3" fillId="2" borderId="1" xfId="0" applyNumberFormat="1" applyFont="1" applyFill="1" applyBorder="1"/>
    <xf numFmtId="164" fontId="0" fillId="0" borderId="1" xfId="0" applyNumberFormat="1" applyBorder="1"/>
    <xf numFmtId="164" fontId="0" fillId="0" borderId="0" xfId="0" applyNumberFormat="1"/>
    <xf numFmtId="165" fontId="0" fillId="0" borderId="1" xfId="0" applyNumberFormat="1" applyBorder="1"/>
    <xf numFmtId="2" fontId="0" fillId="0" borderId="1" xfId="0" applyNumberFormat="1" applyBorder="1"/>
    <xf numFmtId="2" fontId="0" fillId="0" borderId="0" xfId="0" applyNumberFormat="1"/>
    <xf numFmtId="166" fontId="3" fillId="2" borderId="1" xfId="0" applyNumberFormat="1" applyFont="1" applyFill="1" applyBorder="1"/>
    <xf numFmtId="166" fontId="0" fillId="0" borderId="1" xfId="0" applyNumberFormat="1" applyBorder="1"/>
    <xf numFmtId="166" fontId="0" fillId="0" borderId="0" xfId="0" applyNumberFormat="1"/>
    <xf numFmtId="0" fontId="3" fillId="3" borderId="1" xfId="0" applyFont="1" applyFill="1" applyBorder="1"/>
    <xf numFmtId="165" fontId="3" fillId="3" borderId="1" xfId="0" applyNumberFormat="1"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 fillId="7" borderId="1" xfId="0" applyFont="1" applyFill="1" applyBorder="1"/>
    <xf numFmtId="0" fontId="0" fillId="7" borderId="1" xfId="0" applyFill="1" applyBorder="1"/>
    <xf numFmtId="0" fontId="3" fillId="8" borderId="1" xfId="0" applyFont="1" applyFill="1" applyBorder="1"/>
    <xf numFmtId="0" fontId="2" fillId="8" borderId="1" xfId="0" applyFont="1" applyFill="1" applyBorder="1"/>
    <xf numFmtId="1" fontId="0" fillId="0" borderId="1" xfId="0" applyNumberFormat="1" applyBorder="1"/>
    <xf numFmtId="0" fontId="3" fillId="3" borderId="1" xfId="0" applyFont="1" applyFill="1" applyBorder="1" applyAlignment="1">
      <alignment vertical="center"/>
    </xf>
    <xf numFmtId="14" fontId="3" fillId="3" borderId="1" xfId="0" applyNumberFormat="1" applyFont="1" applyFill="1" applyBorder="1" applyAlignment="1">
      <alignment vertical="center"/>
    </xf>
    <xf numFmtId="0" fontId="3" fillId="6" borderId="1" xfId="0" applyFont="1" applyFill="1" applyBorder="1" applyAlignment="1">
      <alignment vertical="center"/>
    </xf>
    <xf numFmtId="0" fontId="3" fillId="6" borderId="1" xfId="0" applyFont="1" applyFill="1" applyBorder="1" applyAlignment="1">
      <alignment vertical="center" wrapText="1"/>
    </xf>
    <xf numFmtId="0" fontId="3" fillId="5" borderId="1" xfId="0" applyFont="1" applyFill="1" applyBorder="1" applyAlignment="1">
      <alignment vertical="center"/>
    </xf>
    <xf numFmtId="0" fontId="3" fillId="4" borderId="1" xfId="0" applyFont="1" applyFill="1" applyBorder="1" applyAlignment="1">
      <alignment vertical="center"/>
    </xf>
    <xf numFmtId="0" fontId="2" fillId="8" borderId="1" xfId="0" applyFont="1" applyFill="1" applyBorder="1" applyAlignment="1">
      <alignment vertical="center"/>
    </xf>
    <xf numFmtId="0" fontId="0" fillId="0" borderId="0" xfId="0" applyAlignment="1">
      <alignment vertical="center"/>
    </xf>
    <xf numFmtId="0" fontId="1" fillId="0" borderId="1" xfId="0" applyFont="1" applyBorder="1"/>
    <xf numFmtId="0" fontId="3" fillId="0" borderId="1" xfId="0" applyFont="1" applyBorder="1"/>
    <xf numFmtId="166" fontId="2" fillId="8" borderId="1" xfId="0" applyNumberFormat="1" applyFont="1" applyFill="1" applyBorder="1" applyAlignment="1">
      <alignment vertical="center"/>
    </xf>
    <xf numFmtId="0" fontId="2" fillId="0" borderId="1" xfId="0" applyFont="1" applyBorder="1"/>
    <xf numFmtId="166" fontId="2" fillId="0" borderId="1" xfId="0" applyNumberFormat="1" applyFont="1" applyBorder="1"/>
    <xf numFmtId="2" fontId="3" fillId="8" borderId="1" xfId="0" applyNumberFormat="1" applyFont="1" applyFill="1" applyBorder="1" applyAlignment="1">
      <alignment vertical="center"/>
    </xf>
    <xf numFmtId="0" fontId="0" fillId="0" borderId="0" xfId="0" applyNumberFormat="1"/>
    <xf numFmtId="0" fontId="0" fillId="0" borderId="0" xfId="0" pivotButton="1"/>
    <xf numFmtId="171" fontId="0" fillId="0" borderId="0" xfId="0" applyNumberFormat="1"/>
    <xf numFmtId="0" fontId="0" fillId="0" borderId="0" xfId="0" applyFont="1"/>
  </cellXfs>
  <cellStyles count="1">
    <cellStyle name="Normal" xfId="0" builtinId="0"/>
  </cellStyles>
  <dxfs count="0"/>
  <tableStyles count="0" defaultTableStyle="TableStyleMedium9" defaultPivotStyle="PivotStyleLight16"/>
  <colors>
    <mruColors>
      <color rgb="FFE6F4EA"/>
      <color rgb="FFE7F0FA"/>
      <color rgb="FF1F4E79"/>
      <color rgb="FFFF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2.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[Messy_Data_300_Rows_One_Sheet.xlsx]Pivote_Table!Dept Wise Status</c:name>
    <c:fmtId val="0"/>
  </c:pivotSource>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IN" b="1">
                <a:solidFill>
                  <a:sysClr val="windowText" lastClr="000000"/>
                </a:solidFill>
              </a:rPr>
              <a:t>Department Wise Status</a:t>
            </a:r>
          </a:p>
        </c:rich>
      </c:tx>
      <c:layout>
        <c:manualLayout>
          <c:xMode val="edge"/>
          <c:yMode val="edge"/>
          <c:x val="0.35005139443776423"/>
          <c:y val="9.078064652527471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Pivote_Table!$B$2:$B$3</c:f>
              <c:strCache>
                <c:ptCount val="1"/>
                <c:pt idx="0">
                  <c:v>ACTIVE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Pivote_Table!$A$4:$A$6</c:f>
              <c:strCache>
                <c:ptCount val="2"/>
                <c:pt idx="0">
                  <c:v>FINANCE</c:v>
                </c:pt>
                <c:pt idx="1">
                  <c:v>SALES</c:v>
                </c:pt>
              </c:strCache>
            </c:strRef>
          </c:cat>
          <c:val>
            <c:numRef>
              <c:f>Pivote_Table!$B$4:$B$6</c:f>
              <c:numCache>
                <c:formatCode>General</c:formatCode>
                <c:ptCount val="2"/>
                <c:pt idx="1">
                  <c:v>1</c:v>
                </c:pt>
              </c:numCache>
            </c:numRef>
          </c:val>
          <c:extLst>
            <c:ext xmlns:c16="http://schemas.microsoft.com/office/drawing/2014/chart" uri="{C3380CC4-5D6E-409C-BE32-E72D297353CC}">
              <c16:uniqueId val="{00000000-04F4-4973-974D-F1F2F5703663}"/>
            </c:ext>
          </c:extLst>
        </c:ser>
        <c:ser>
          <c:idx val="1"/>
          <c:order val="1"/>
          <c:tx>
            <c:strRef>
              <c:f>Pivote_Table!$C$2:$C$3</c:f>
              <c:strCache>
                <c:ptCount val="1"/>
                <c:pt idx="0">
                  <c:v>RESIGNED</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Pivote_Table!$A$4:$A$6</c:f>
              <c:strCache>
                <c:ptCount val="2"/>
                <c:pt idx="0">
                  <c:v>FINANCE</c:v>
                </c:pt>
                <c:pt idx="1">
                  <c:v>SALES</c:v>
                </c:pt>
              </c:strCache>
            </c:strRef>
          </c:cat>
          <c:val>
            <c:numRef>
              <c:f>Pivote_Table!$C$4:$C$6</c:f>
              <c:numCache>
                <c:formatCode>General</c:formatCode>
                <c:ptCount val="2"/>
                <c:pt idx="0">
                  <c:v>1</c:v>
                </c:pt>
              </c:numCache>
            </c:numRef>
          </c:val>
          <c:extLst>
            <c:ext xmlns:c16="http://schemas.microsoft.com/office/drawing/2014/chart" uri="{C3380CC4-5D6E-409C-BE32-E72D297353CC}">
              <c16:uniqueId val="{0000000F-04F4-4973-974D-F1F2F5703663}"/>
            </c:ext>
          </c:extLst>
        </c:ser>
        <c:dLbls>
          <c:dLblPos val="outEnd"/>
          <c:showLegendKey val="0"/>
          <c:showVal val="1"/>
          <c:showCatName val="0"/>
          <c:showSerName val="0"/>
          <c:showPercent val="0"/>
          <c:showBubbleSize val="0"/>
        </c:dLbls>
        <c:gapWidth val="100"/>
        <c:overlap val="-24"/>
        <c:axId val="1221213040"/>
        <c:axId val="1221211600"/>
      </c:barChart>
      <c:catAx>
        <c:axId val="12212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1211600"/>
        <c:crosses val="autoZero"/>
        <c:auto val="1"/>
        <c:lblAlgn val="ctr"/>
        <c:lblOffset val="100"/>
        <c:noMultiLvlLbl val="0"/>
      </c:catAx>
      <c:valAx>
        <c:axId val="122121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121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[Messy_Data_300_Rows_One_Sheet.xlsx]Pivote_Table!Dept_Avg_Salary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Dept</a:t>
            </a:r>
            <a:r>
              <a:rPr lang="en-US" b="1" baseline="0">
                <a:solidFill>
                  <a:sysClr val="windowText" lastClr="000000"/>
                </a:solidFill>
              </a:rPr>
              <a:t> Avg Salary</a:t>
            </a:r>
          </a:p>
        </c:rich>
      </c:tx>
      <c:layout>
        <c:manualLayout>
          <c:xMode val="edge"/>
          <c:yMode val="edge"/>
          <c:x val="0.3095223851638668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Pivote_Table!$B$26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0D4-4548-BB91-A655D72AD9D4}"/>
              </c:ext>
            </c:extLst>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Pivote_Table!$A$27:$A$29</c:f>
              <c:strCache>
                <c:ptCount val="2"/>
                <c:pt idx="0">
                  <c:v>FINANCE</c:v>
                </c:pt>
                <c:pt idx="1">
                  <c:v>SALES</c:v>
                </c:pt>
              </c:strCache>
            </c:strRef>
          </c:cat>
          <c:val>
            <c:numRef>
              <c:f>Pivote_Table!$B$27:$B$29</c:f>
              <c:numCache>
                <c:formatCode>"₹"\ #,##0.00</c:formatCode>
                <c:ptCount val="2"/>
                <c:pt idx="0">
                  <c:v>62508</c:v>
                </c:pt>
                <c:pt idx="1">
                  <c:v>71743</c:v>
                </c:pt>
              </c:numCache>
            </c:numRef>
          </c:val>
          <c:extLst>
            <c:ext xmlns:c16="http://schemas.microsoft.com/office/drawing/2014/chart" uri="{C3380CC4-5D6E-409C-BE32-E72D297353CC}">
              <c16:uniqueId val="{00000000-10D4-4548-BB91-A655D72AD9D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[Messy_Data_300_Rows_One_Sheet.xlsx]Pivote_Table!Dept_Avg_Exper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Experiance</a:t>
            </a:r>
            <a:endParaRPr lang="en-US"/>
          </a:p>
        </c:rich>
      </c:tx>
      <c:layout>
        <c:manualLayout>
          <c:xMode val="edge"/>
          <c:yMode val="edge"/>
          <c:x val="0.39639509816089097"/>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Pivote_Table!$D$12:$D$14</c:f>
              <c:strCache>
                <c:ptCount val="2"/>
                <c:pt idx="0">
                  <c:v>FINANCE</c:v>
                </c:pt>
                <c:pt idx="1">
                  <c:v>SALES</c:v>
                </c:pt>
              </c:strCache>
            </c:strRef>
          </c:cat>
          <c:val>
            <c:numRef>
              <c:f>Pivote_Table!$E$12:$E$14</c:f>
              <c:numCache>
                <c:formatCode>0.0</c:formatCode>
                <c:ptCount val="2"/>
                <c:pt idx="0">
                  <c:v>4</c:v>
                </c:pt>
                <c:pt idx="1">
                  <c:v>4</c:v>
                </c:pt>
              </c:numCache>
            </c:numRef>
          </c:val>
          <c:extLst>
            <c:ext xmlns:c16="http://schemas.microsoft.com/office/drawing/2014/chart" uri="{C3380CC4-5D6E-409C-BE32-E72D297353CC}">
              <c16:uniqueId val="{00000000-A31B-4B2F-B5AB-C3FAEE2F0095}"/>
            </c:ext>
          </c:extLst>
        </c:ser>
        <c:dLbls>
          <c:dLblPos val="outEnd"/>
          <c:showLegendKey val="0"/>
          <c:showVal val="1"/>
          <c:showCatName val="0"/>
          <c:showSerName val="0"/>
          <c:showPercent val="0"/>
          <c:showBubbleSize val="0"/>
        </c:dLbls>
        <c:gapWidth val="182"/>
        <c:axId val="229523424"/>
        <c:axId val="229525344"/>
      </c:barChart>
      <c:catAx>
        <c:axId val="22952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525344"/>
        <c:crosses val="autoZero"/>
        <c:auto val="1"/>
        <c:lblAlgn val="ctr"/>
        <c:lblOffset val="100"/>
        <c:noMultiLvlLbl val="0"/>
      </c:catAx>
      <c:valAx>
        <c:axId val="2295253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[Messy_Data_300_Rows_One_Sheet.xlsx]Pivote_Table!Salary_Range_Headcount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Salary</a:t>
            </a:r>
            <a:r>
              <a:rPr lang="en-US" b="1" baseline="0">
                <a:solidFill>
                  <a:sysClr val="windowText" lastClr="000000"/>
                </a:solidFill>
              </a:rPr>
              <a:t> Range Count</a:t>
            </a:r>
            <a:endParaRPr lang="en-US" b="1">
              <a:solidFill>
                <a:sysClr val="windowText" lastClr="000000"/>
              </a:solidFill>
            </a:endParaRPr>
          </a:p>
        </c:rich>
      </c:tx>
      <c:layout>
        <c:manualLayout>
          <c:xMode val="edge"/>
          <c:yMode val="edge"/>
          <c:x val="0.356381889763779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Pivote_Table!$D$29:$D$30</c:f>
              <c:strCache>
                <c:ptCount val="1"/>
                <c:pt idx="0">
                  <c:v>60K-80K</c:v>
                </c:pt>
              </c:strCache>
            </c:strRef>
          </c:cat>
          <c:val>
            <c:numRef>
              <c:f>Pivote_Table!$E$29:$E$30</c:f>
              <c:numCache>
                <c:formatCode>General</c:formatCode>
                <c:ptCount val="1"/>
                <c:pt idx="0">
                  <c:v>2</c:v>
                </c:pt>
              </c:numCache>
            </c:numRef>
          </c:val>
          <c:extLst>
            <c:ext xmlns:c16="http://schemas.microsoft.com/office/drawing/2014/chart" uri="{C3380CC4-5D6E-409C-BE32-E72D297353CC}">
              <c16:uniqueId val="{00000000-8DB8-4C5B-A66C-943C778FA4FA}"/>
            </c:ext>
          </c:extLst>
        </c:ser>
        <c:dLbls>
          <c:dLblPos val="outEnd"/>
          <c:showLegendKey val="0"/>
          <c:showVal val="1"/>
          <c:showCatName val="0"/>
          <c:showSerName val="0"/>
          <c:showPercent val="0"/>
          <c:showBubbleSize val="0"/>
        </c:dLbls>
        <c:gapWidth val="182"/>
        <c:axId val="229433664"/>
        <c:axId val="229434624"/>
      </c:barChart>
      <c:catAx>
        <c:axId val="22943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434624"/>
        <c:crosses val="autoZero"/>
        <c:auto val="1"/>
        <c:lblAlgn val="ctr"/>
        <c:lblOffset val="100"/>
        <c:noMultiLvlLbl val="0"/>
      </c:catAx>
      <c:valAx>
        <c:axId val="22943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43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[Messy_Data_300_Rows_One_Sheet.xlsx]Pivote_Table!Manager_Headount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Emp</a:t>
            </a:r>
            <a:r>
              <a:rPr lang="en-IN" b="1" baseline="0">
                <a:solidFill>
                  <a:sysClr val="windowText" lastClr="000000"/>
                </a:solidFill>
              </a:rPr>
              <a:t> Count With Manager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Pivote_Table!$H$3:$H$5</c:f>
              <c:strCache>
                <c:ptCount val="2"/>
                <c:pt idx="0">
                  <c:v>M1</c:v>
                </c:pt>
                <c:pt idx="1">
                  <c:v>M2</c:v>
                </c:pt>
              </c:strCache>
            </c:strRef>
          </c:cat>
          <c:val>
            <c:numRef>
              <c:f>Pivote_Table!$I$3:$I$5</c:f>
              <c:numCache>
                <c:formatCode>General</c:formatCode>
                <c:ptCount val="2"/>
                <c:pt idx="0">
                  <c:v>1</c:v>
                </c:pt>
                <c:pt idx="1">
                  <c:v>1</c:v>
                </c:pt>
              </c:numCache>
            </c:numRef>
          </c:val>
          <c:extLst>
            <c:ext xmlns:c16="http://schemas.microsoft.com/office/drawing/2014/chart" uri="{C3380CC4-5D6E-409C-BE32-E72D297353CC}">
              <c16:uniqueId val="{00000000-9838-45CD-9749-4D3A6D7437DA}"/>
            </c:ext>
          </c:extLst>
        </c:ser>
        <c:dLbls>
          <c:dLblPos val="outEnd"/>
          <c:showLegendKey val="0"/>
          <c:showVal val="1"/>
          <c:showCatName val="0"/>
          <c:showSerName val="0"/>
          <c:showPercent val="0"/>
          <c:showBubbleSize val="0"/>
        </c:dLbls>
        <c:gapWidth val="219"/>
        <c:overlap val="-27"/>
        <c:axId val="229542624"/>
        <c:axId val="229537824"/>
      </c:barChart>
      <c:catAx>
        <c:axId val="22954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537824"/>
        <c:crosses val="autoZero"/>
        <c:auto val="1"/>
        <c:lblAlgn val="ctr"/>
        <c:lblOffset val="100"/>
        <c:noMultiLvlLbl val="0"/>
      </c:catAx>
      <c:valAx>
        <c:axId val="22953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954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[Messy_Data_300_Rows_One_Sheet.xlsx]Pivote_Table!Dept_Avg_Exper</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Average</a:t>
            </a:r>
            <a:r>
              <a:rPr lang="en-US" sz="1600" b="1" baseline="0">
                <a:solidFill>
                  <a:schemeClr val="tx1"/>
                </a:solidFill>
              </a:rPr>
              <a:t> Experiance (Years)</a:t>
            </a:r>
            <a:endParaRPr lang="en-US" sz="1600" b="1">
              <a:solidFill>
                <a:schemeClr val="tx1"/>
              </a:solidFill>
            </a:endParaRPr>
          </a:p>
        </c:rich>
      </c:tx>
      <c:layout>
        <c:manualLayout>
          <c:xMode val="edge"/>
          <c:yMode val="edge"/>
          <c:x val="0.34947553972400486"/>
          <c:y val="9.62013614097724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Pivote_Table!$D$12:$D$14</c:f>
              <c:strCache>
                <c:ptCount val="2"/>
                <c:pt idx="0">
                  <c:v>FINANCE</c:v>
                </c:pt>
                <c:pt idx="1">
                  <c:v>SALES</c:v>
                </c:pt>
              </c:strCache>
            </c:strRef>
          </c:cat>
          <c:val>
            <c:numRef>
              <c:f>Pivote_Table!$E$12:$E$14</c:f>
              <c:numCache>
                <c:formatCode>0.0</c:formatCode>
                <c:ptCount val="2"/>
                <c:pt idx="0">
                  <c:v>4</c:v>
                </c:pt>
                <c:pt idx="1">
                  <c:v>4</c:v>
                </c:pt>
              </c:numCache>
            </c:numRef>
          </c:val>
          <c:extLst>
            <c:ext xmlns:c16="http://schemas.microsoft.com/office/drawing/2014/chart" uri="{C3380CC4-5D6E-409C-BE32-E72D297353CC}">
              <c16:uniqueId val="{00000000-7093-4D88-B89F-01862CDDF920}"/>
            </c:ext>
          </c:extLst>
        </c:ser>
        <c:dLbls>
          <c:dLblPos val="outEnd"/>
          <c:showLegendKey val="0"/>
          <c:showVal val="1"/>
          <c:showCatName val="0"/>
          <c:showSerName val="0"/>
          <c:showPercent val="0"/>
          <c:showBubbleSize val="0"/>
        </c:dLbls>
        <c:gapWidth val="182"/>
        <c:axId val="229523424"/>
        <c:axId val="229525344"/>
      </c:barChart>
      <c:catAx>
        <c:axId val="22952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29525344"/>
        <c:crosses val="autoZero"/>
        <c:auto val="1"/>
        <c:lblAlgn val="ctr"/>
        <c:lblOffset val="100"/>
        <c:noMultiLvlLbl val="0"/>
      </c:catAx>
      <c:valAx>
        <c:axId val="229525344"/>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295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[Messy_Data_300_Rows_One_Sheet.xlsx]Pivote_Table!Dept Wise Status</c:name>
    <c:fmtId val="5"/>
  </c:pivotSource>
  <c:chart>
    <c:title>
      <c:tx>
        <c:rich>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r>
              <a:rPr lang="en-IN" sz="1600" b="1">
                <a:solidFill>
                  <a:sysClr val="windowText" lastClr="000000"/>
                </a:solidFill>
              </a:rPr>
              <a:t>Department-wiseEmployee</a:t>
            </a:r>
            <a:r>
              <a:rPr lang="en-IN" sz="1600" b="1" baseline="0">
                <a:solidFill>
                  <a:sysClr val="windowText" lastClr="000000"/>
                </a:solidFill>
              </a:rPr>
              <a:t> </a:t>
            </a:r>
            <a:r>
              <a:rPr lang="en-IN" sz="1600" b="1">
                <a:solidFill>
                  <a:sysClr val="windowText" lastClr="000000"/>
                </a:solidFill>
              </a:rPr>
              <a:t>Status</a:t>
            </a:r>
          </a:p>
        </c:rich>
      </c:tx>
      <c:layout>
        <c:manualLayout>
          <c:xMode val="edge"/>
          <c:yMode val="edge"/>
          <c:x val="0.24158952781673679"/>
          <c:y val="9.0780655789657716E-2"/>
        </c:manualLayout>
      </c:layout>
      <c:overlay val="0"/>
      <c:spPr>
        <a:noFill/>
        <a:ln>
          <a:noFill/>
        </a:ln>
        <a:effectLst/>
      </c:spPr>
      <c:txPr>
        <a:bodyPr rot="0" spcFirstLastPara="1" vertOverflow="ellipsis" vert="horz" wrap="square" anchor="ctr" anchorCtr="1"/>
        <a:lstStyle/>
        <a:p>
          <a:pPr>
            <a:defRPr sz="1600" b="0"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Pivote_Table!$B$2:$B$3</c:f>
              <c:strCache>
                <c:ptCount val="1"/>
                <c:pt idx="0">
                  <c:v>ACTIVE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Pivote_Table!$A$4:$A$6</c:f>
              <c:strCache>
                <c:ptCount val="2"/>
                <c:pt idx="0">
                  <c:v>FINANCE</c:v>
                </c:pt>
                <c:pt idx="1">
                  <c:v>SALES</c:v>
                </c:pt>
              </c:strCache>
            </c:strRef>
          </c:cat>
          <c:val>
            <c:numRef>
              <c:f>Pivote_Table!$B$4:$B$6</c:f>
              <c:numCache>
                <c:formatCode>General</c:formatCode>
                <c:ptCount val="2"/>
                <c:pt idx="1">
                  <c:v>1</c:v>
                </c:pt>
              </c:numCache>
            </c:numRef>
          </c:val>
          <c:extLst>
            <c:ext xmlns:c16="http://schemas.microsoft.com/office/drawing/2014/chart" uri="{C3380CC4-5D6E-409C-BE32-E72D297353CC}">
              <c16:uniqueId val="{00000000-4D7D-4FFB-978B-528AB7C28855}"/>
            </c:ext>
          </c:extLst>
        </c:ser>
        <c:ser>
          <c:idx val="1"/>
          <c:order val="1"/>
          <c:tx>
            <c:strRef>
              <c:f>Pivote_Table!$C$2:$C$3</c:f>
              <c:strCache>
                <c:ptCount val="1"/>
                <c:pt idx="0">
                  <c:v>RESIGNED</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Pivote_Table!$A$4:$A$6</c:f>
              <c:strCache>
                <c:ptCount val="2"/>
                <c:pt idx="0">
                  <c:v>FINANCE</c:v>
                </c:pt>
                <c:pt idx="1">
                  <c:v>SALES</c:v>
                </c:pt>
              </c:strCache>
            </c:strRef>
          </c:cat>
          <c:val>
            <c:numRef>
              <c:f>Pivote_Table!$C$4:$C$6</c:f>
              <c:numCache>
                <c:formatCode>General</c:formatCode>
                <c:ptCount val="2"/>
                <c:pt idx="0">
                  <c:v>1</c:v>
                </c:pt>
              </c:numCache>
            </c:numRef>
          </c:val>
          <c:extLst>
            <c:ext xmlns:c16="http://schemas.microsoft.com/office/drawing/2014/chart" uri="{C3380CC4-5D6E-409C-BE32-E72D297353CC}">
              <c16:uniqueId val="{00000009-4D7D-4FFB-978B-528AB7C28855}"/>
            </c:ext>
          </c:extLst>
        </c:ser>
        <c:dLbls>
          <c:dLblPos val="outEnd"/>
          <c:showLegendKey val="0"/>
          <c:showVal val="1"/>
          <c:showCatName val="0"/>
          <c:showSerName val="0"/>
          <c:showPercent val="0"/>
          <c:showBubbleSize val="0"/>
        </c:dLbls>
        <c:gapWidth val="100"/>
        <c:overlap val="-24"/>
        <c:axId val="1221213040"/>
        <c:axId val="1221211600"/>
      </c:barChart>
      <c:catAx>
        <c:axId val="12212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221211600"/>
        <c:crosses val="autoZero"/>
        <c:auto val="1"/>
        <c:lblAlgn val="ctr"/>
        <c:lblOffset val="100"/>
        <c:noMultiLvlLbl val="0"/>
      </c:catAx>
      <c:valAx>
        <c:axId val="122121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22121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[Messy_Data_300_Rows_One_Sheet.xlsx]Pivote_Table!Salary_Range_Headcount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Employee by Salary</a:t>
            </a:r>
            <a:r>
              <a:rPr lang="en-US" sz="1600" b="1" baseline="0">
                <a:solidFill>
                  <a:sysClr val="windowText" lastClr="000000"/>
                </a:solidFill>
              </a:rPr>
              <a:t> Range</a:t>
            </a:r>
            <a:endParaRPr lang="en-US" sz="1600" b="1">
              <a:solidFill>
                <a:sysClr val="windowText" lastClr="000000"/>
              </a:solidFill>
            </a:endParaRPr>
          </a:p>
        </c:rich>
      </c:tx>
      <c:layout>
        <c:manualLayout>
          <c:xMode val="edge"/>
          <c:yMode val="edge"/>
          <c:x val="0.32082895367686343"/>
          <c:y val="8.23125231235034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Pivote_Table!$E$28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Pivote_Table!$D$29:$D$30</c:f>
              <c:strCache>
                <c:ptCount val="1"/>
                <c:pt idx="0">
                  <c:v>60K-80K</c:v>
                </c:pt>
              </c:strCache>
            </c:strRef>
          </c:cat>
          <c:val>
            <c:numRef>
              <c:f>Pivote_Table!$E$29:$E$30</c:f>
              <c:numCache>
                <c:formatCode>General</c:formatCode>
                <c:ptCount val="1"/>
                <c:pt idx="0">
                  <c:v>2</c:v>
                </c:pt>
              </c:numCache>
            </c:numRef>
          </c:val>
          <c:extLst>
            <c:ext xmlns:c16="http://schemas.microsoft.com/office/drawing/2014/chart" uri="{C3380CC4-5D6E-409C-BE32-E72D297353CC}">
              <c16:uniqueId val="{00000000-4FD6-499B-877C-FA0E99D1C7F7}"/>
            </c:ext>
          </c:extLst>
        </c:ser>
        <c:dLbls>
          <c:dLblPos val="outEnd"/>
          <c:showLegendKey val="0"/>
          <c:showVal val="1"/>
          <c:showCatName val="0"/>
          <c:showSerName val="0"/>
          <c:showPercent val="0"/>
          <c:showBubbleSize val="0"/>
        </c:dLbls>
        <c:gapWidth val="182"/>
        <c:axId val="229433664"/>
        <c:axId val="229434624"/>
      </c:barChart>
      <c:catAx>
        <c:axId val="22943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29434624"/>
        <c:crosses val="autoZero"/>
        <c:auto val="1"/>
        <c:lblAlgn val="ctr"/>
        <c:lblOffset val="100"/>
        <c:noMultiLvlLbl val="0"/>
      </c:catAx>
      <c:valAx>
        <c:axId val="22943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2943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[Messy_Data_300_Rows_One_Sheet.xlsx]Pivote_Table!Manager_Headount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baseline="0">
                <a:solidFill>
                  <a:sysClr val="windowText" lastClr="000000"/>
                </a:solidFill>
              </a:rPr>
              <a:t>Manager-wise Employee Count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Pivote_Table!$H$3:$H$5</c:f>
              <c:strCache>
                <c:ptCount val="2"/>
                <c:pt idx="0">
                  <c:v>M1</c:v>
                </c:pt>
                <c:pt idx="1">
                  <c:v>M2</c:v>
                </c:pt>
              </c:strCache>
            </c:strRef>
          </c:cat>
          <c:val>
            <c:numRef>
              <c:f>Pivote_Table!$I$3:$I$5</c:f>
              <c:numCache>
                <c:formatCode>General</c:formatCode>
                <c:ptCount val="2"/>
                <c:pt idx="0">
                  <c:v>1</c:v>
                </c:pt>
                <c:pt idx="1">
                  <c:v>1</c:v>
                </c:pt>
              </c:numCache>
            </c:numRef>
          </c:val>
          <c:extLst>
            <c:ext xmlns:c16="http://schemas.microsoft.com/office/drawing/2014/chart" uri="{C3380CC4-5D6E-409C-BE32-E72D297353CC}">
              <c16:uniqueId val="{00000000-EC34-40EA-9ACB-D09232D58077}"/>
            </c:ext>
          </c:extLst>
        </c:ser>
        <c:dLbls>
          <c:dLblPos val="outEnd"/>
          <c:showLegendKey val="0"/>
          <c:showVal val="1"/>
          <c:showCatName val="0"/>
          <c:showSerName val="0"/>
          <c:showPercent val="0"/>
          <c:showBubbleSize val="0"/>
        </c:dLbls>
        <c:gapWidth val="219"/>
        <c:overlap val="-27"/>
        <c:axId val="229542624"/>
        <c:axId val="229537824"/>
      </c:barChart>
      <c:catAx>
        <c:axId val="22954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29537824"/>
        <c:crosses val="autoZero"/>
        <c:auto val="1"/>
        <c:lblAlgn val="ctr"/>
        <c:lblOffset val="100"/>
        <c:noMultiLvlLbl val="0"/>
      </c:catAx>
      <c:valAx>
        <c:axId val="22953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2954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38100</xdr:rowOff>
    </xdr:from>
    <xdr:to>
      <xdr:col>2</xdr:col>
      <xdr:colOff>723900</xdr:colOff>
      <xdr:row>18</xdr:row>
      <xdr:rowOff>148590</xdr:rowOff>
    </xdr:to>
    <xdr:graphicFrame macro="">
      <xdr:nvGraphicFramePr>
        <xdr:cNvPr id="5" name="Chart 4">
          <a:extLst>
            <a:ext uri="{FF2B5EF4-FFF2-40B4-BE49-F238E27FC236}">
              <a16:creationId xmlns:a16="http://schemas.microsoft.com/office/drawing/2014/main" id="{06D5AEFE-9496-CBD9-8E0A-9075DACA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148590</xdr:rowOff>
    </xdr:from>
    <xdr:to>
      <xdr:col>2</xdr:col>
      <xdr:colOff>434340</xdr:colOff>
      <xdr:row>42</xdr:row>
      <xdr:rowOff>30480</xdr:rowOff>
    </xdr:to>
    <xdr:graphicFrame macro="">
      <xdr:nvGraphicFramePr>
        <xdr:cNvPr id="6" name="Chart 5">
          <a:extLst>
            <a:ext uri="{FF2B5EF4-FFF2-40B4-BE49-F238E27FC236}">
              <a16:creationId xmlns:a16="http://schemas.microsoft.com/office/drawing/2014/main" id="{A3FF43EA-AEBB-69A1-D144-219000B9E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434340</xdr:colOff>
      <xdr:row>0</xdr:row>
      <xdr:rowOff>0</xdr:rowOff>
    </xdr:from>
    <xdr:to>
      <xdr:col>14</xdr:col>
      <xdr:colOff>223520</xdr:colOff>
      <xdr:row>13</xdr:row>
      <xdr:rowOff>89535</xdr:rowOff>
    </xdr:to>
    <mc:AlternateContent xmlns:mc="http://schemas.openxmlformats.org/markup-compatibility/2006">
      <mc:Choice xmlns:a14="http://schemas.microsoft.com/office/drawing/2010/main" Requires="a14">
        <xdr:graphicFrame macro="">
          <xdr:nvGraphicFramePr>
            <xdr:cNvPr id="9" name="Salary">
              <a:extLst>
                <a:ext uri="{FF2B5EF4-FFF2-40B4-BE49-F238E27FC236}">
                  <a16:creationId xmlns:a16="http://schemas.microsoft.com/office/drawing/2014/main" id="{D62ED809-D2E0-D6C4-E7A4-744756B8A637}"/>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17249140" y="0"/>
              <a:ext cx="1833880" cy="240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441960</xdr:colOff>
      <xdr:row>14</xdr:row>
      <xdr:rowOff>76201</xdr:rowOff>
    </xdr:from>
    <xdr:to>
      <xdr:col>14</xdr:col>
      <xdr:colOff>231140</xdr:colOff>
      <xdr:row>23</xdr:row>
      <xdr:rowOff>101601</xdr:rowOff>
    </xdr:to>
    <mc:AlternateContent xmlns:mc="http://schemas.openxmlformats.org/markup-compatibility/2006">
      <mc:Choice xmlns:a14="http://schemas.microsoft.com/office/drawing/2010/main" Requires="a14">
        <xdr:graphicFrame macro="">
          <xdr:nvGraphicFramePr>
            <xdr:cNvPr id="10" name="Salary Range">
              <a:extLst>
                <a:ext uri="{FF2B5EF4-FFF2-40B4-BE49-F238E27FC236}">
                  <a16:creationId xmlns:a16="http://schemas.microsoft.com/office/drawing/2014/main" id="{AADF5473-BD2E-AC2A-1F69-D87413AD2538}"/>
                </a:ext>
              </a:extLst>
            </xdr:cNvPr>
            <xdr:cNvGraphicFramePr/>
          </xdr:nvGraphicFramePr>
          <xdr:xfrm>
            <a:off x="0" y="0"/>
            <a:ext cx="0" cy="0"/>
          </xdr:xfrm>
          <a:graphic>
            <a:graphicData uri="http://schemas.microsoft.com/office/drawing/2010/slicer">
              <sle:slicer xmlns:sle="http://schemas.microsoft.com/office/drawing/2010/slicer" name="Salary Range"/>
            </a:graphicData>
          </a:graphic>
        </xdr:graphicFrame>
      </mc:Choice>
      <mc:Fallback>
        <xdr:sp macro="" textlink="">
          <xdr:nvSpPr>
            <xdr:cNvPr id="0" name=""/>
            <xdr:cNvSpPr>
              <a:spLocks noTextEdit="1"/>
            </xdr:cNvSpPr>
          </xdr:nvSpPr>
          <xdr:spPr>
            <a:xfrm>
              <a:off x="17256760" y="2565401"/>
              <a:ext cx="1833880" cy="162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665480</xdr:colOff>
      <xdr:row>14</xdr:row>
      <xdr:rowOff>38101</xdr:rowOff>
    </xdr:from>
    <xdr:to>
      <xdr:col>11</xdr:col>
      <xdr:colOff>236220</xdr:colOff>
      <xdr:row>20</xdr:row>
      <xdr:rowOff>132081</xdr:rowOff>
    </xdr:to>
    <mc:AlternateContent xmlns:mc="http://schemas.openxmlformats.org/markup-compatibility/2006">
      <mc:Choice xmlns:a14="http://schemas.microsoft.com/office/drawing/2010/main" Requires="a14">
        <xdr:graphicFrame macro="">
          <xdr:nvGraphicFramePr>
            <xdr:cNvPr id="11" name="Status Clean">
              <a:extLst>
                <a:ext uri="{FF2B5EF4-FFF2-40B4-BE49-F238E27FC236}">
                  <a16:creationId xmlns:a16="http://schemas.microsoft.com/office/drawing/2014/main" id="{4C1BD5BC-4E8C-C69F-83EE-58A770DFAF6D}"/>
                </a:ext>
              </a:extLst>
            </xdr:cNvPr>
            <xdr:cNvGraphicFramePr/>
          </xdr:nvGraphicFramePr>
          <xdr:xfrm>
            <a:off x="0" y="0"/>
            <a:ext cx="0" cy="0"/>
          </xdr:xfrm>
          <a:graphic>
            <a:graphicData uri="http://schemas.microsoft.com/office/drawing/2010/slicer">
              <sle:slicer xmlns:sle="http://schemas.microsoft.com/office/drawing/2010/slicer" name="Status Clean"/>
            </a:graphicData>
          </a:graphic>
        </xdr:graphicFrame>
      </mc:Choice>
      <mc:Fallback>
        <xdr:sp macro="" textlink="">
          <xdr:nvSpPr>
            <xdr:cNvPr id="0" name=""/>
            <xdr:cNvSpPr>
              <a:spLocks noTextEdit="1"/>
            </xdr:cNvSpPr>
          </xdr:nvSpPr>
          <xdr:spPr>
            <a:xfrm>
              <a:off x="15219680" y="2527301"/>
              <a:ext cx="1831340" cy="116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680720</xdr:colOff>
      <xdr:row>0</xdr:row>
      <xdr:rowOff>30481</xdr:rowOff>
    </xdr:from>
    <xdr:to>
      <xdr:col>11</xdr:col>
      <xdr:colOff>251460</xdr:colOff>
      <xdr:row>12</xdr:row>
      <xdr:rowOff>68581</xdr:rowOff>
    </xdr:to>
    <mc:AlternateContent xmlns:mc="http://schemas.openxmlformats.org/markup-compatibility/2006">
      <mc:Choice xmlns:a14="http://schemas.microsoft.com/office/drawing/2010/main" Requires="a14">
        <xdr:graphicFrame macro="">
          <xdr:nvGraphicFramePr>
            <xdr:cNvPr id="12" name="Experience Years">
              <a:extLst>
                <a:ext uri="{FF2B5EF4-FFF2-40B4-BE49-F238E27FC236}">
                  <a16:creationId xmlns:a16="http://schemas.microsoft.com/office/drawing/2014/main" id="{6F7CBE42-D97A-BEB0-ABF1-AD796A65FD9D}"/>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dr:sp macro="" textlink="">
          <xdr:nvSpPr>
            <xdr:cNvPr id="0" name=""/>
            <xdr:cNvSpPr>
              <a:spLocks noTextEdit="1"/>
            </xdr:cNvSpPr>
          </xdr:nvSpPr>
          <xdr:spPr>
            <a:xfrm>
              <a:off x="15234920" y="30481"/>
              <a:ext cx="183134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594360</xdr:colOff>
      <xdr:row>11</xdr:row>
      <xdr:rowOff>144780</xdr:rowOff>
    </xdr:from>
    <xdr:to>
      <xdr:col>6</xdr:col>
      <xdr:colOff>53340</xdr:colOff>
      <xdr:row>23</xdr:row>
      <xdr:rowOff>160020</xdr:rowOff>
    </xdr:to>
    <xdr:graphicFrame macro="">
      <xdr:nvGraphicFramePr>
        <xdr:cNvPr id="13" name="Chart 12">
          <a:extLst>
            <a:ext uri="{FF2B5EF4-FFF2-40B4-BE49-F238E27FC236}">
              <a16:creationId xmlns:a16="http://schemas.microsoft.com/office/drawing/2014/main" id="{EACE339A-AD0B-4ABD-DD59-D60F4A30D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632460</xdr:colOff>
      <xdr:row>34</xdr:row>
      <xdr:rowOff>26670</xdr:rowOff>
    </xdr:from>
    <xdr:to>
      <xdr:col>5</xdr:col>
      <xdr:colOff>419100</xdr:colOff>
      <xdr:row>49</xdr:row>
      <xdr:rowOff>26670</xdr:rowOff>
    </xdr:to>
    <xdr:graphicFrame macro="">
      <xdr:nvGraphicFramePr>
        <xdr:cNvPr id="14" name="Chart 13">
          <a:extLst>
            <a:ext uri="{FF2B5EF4-FFF2-40B4-BE49-F238E27FC236}">
              <a16:creationId xmlns:a16="http://schemas.microsoft.com/office/drawing/2014/main" id="{DAF0F9E1-AB4A-EA86-EBE9-875259014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472440</xdr:colOff>
      <xdr:row>28</xdr:row>
      <xdr:rowOff>26670</xdr:rowOff>
    </xdr:from>
    <xdr:to>
      <xdr:col>10</xdr:col>
      <xdr:colOff>304800</xdr:colOff>
      <xdr:row>43</xdr:row>
      <xdr:rowOff>26670</xdr:rowOff>
    </xdr:to>
    <xdr:graphicFrame macro="">
      <xdr:nvGraphicFramePr>
        <xdr:cNvPr id="15" name="Chart 14">
          <a:extLst>
            <a:ext uri="{FF2B5EF4-FFF2-40B4-BE49-F238E27FC236}">
              <a16:creationId xmlns:a16="http://schemas.microsoft.com/office/drawing/2014/main" id="{EB543051-7A8B-60A2-4A6A-F4A1E90FF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1668780</xdr:colOff>
      <xdr:row>28</xdr:row>
      <xdr:rowOff>27940</xdr:rowOff>
    </xdr:from>
    <xdr:to>
      <xdr:col>16</xdr:col>
      <xdr:colOff>40640</xdr:colOff>
      <xdr:row>35</xdr:row>
      <xdr:rowOff>154940</xdr:rowOff>
    </xdr:to>
    <mc:AlternateContent xmlns:mc="http://schemas.openxmlformats.org/markup-compatibility/2006">
      <mc:Choice xmlns:tsle="http://schemas.microsoft.com/office/drawing/2012/timeslicer" Requires="tsle">
        <xdr:graphicFrame macro="">
          <xdr:nvGraphicFramePr>
            <xdr:cNvPr id="16" name="Join Date Clean">
              <a:extLst>
                <a:ext uri="{FF2B5EF4-FFF2-40B4-BE49-F238E27FC236}">
                  <a16:creationId xmlns:a16="http://schemas.microsoft.com/office/drawing/2014/main" id="{95E14FC6-9F11-F192-20AF-318320188423}"/>
                </a:ext>
              </a:extLst>
            </xdr:cNvPr>
            <xdr:cNvGraphicFramePr/>
          </xdr:nvGraphicFramePr>
          <xdr:xfrm>
            <a:off x="0" y="0"/>
            <a:ext cx="0" cy="0"/>
          </xdr:xfrm>
          <a:graphic>
            <a:graphicData uri="http://schemas.microsoft.com/office/drawing/2012/timeslicer">
              <tsle:timeslicer xmlns:tsle="http://schemas.microsoft.com/office/drawing/2012/timeslicer" name="Join Date Clean"/>
            </a:graphicData>
          </a:graphic>
        </xdr:graphicFrame>
      </mc:Choice>
      <mc:Fallback>
        <xdr:sp macro="" textlink="">
          <xdr:nvSpPr>
            <xdr:cNvPr id="0" name=""/>
            <xdr:cNvSpPr>
              <a:spLocks noTextEdit="1"/>
            </xdr:cNvSpPr>
          </xdr:nvSpPr>
          <xdr:spPr>
            <a:xfrm>
              <a:off x="16222980" y="50063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81280</xdr:colOff>
      <xdr:row>1</xdr:row>
      <xdr:rowOff>78740</xdr:rowOff>
    </xdr:from>
    <xdr:to>
      <xdr:col>21</xdr:col>
      <xdr:colOff>180340</xdr:colOff>
      <xdr:row>9</xdr:row>
      <xdr:rowOff>27940</xdr:rowOff>
    </xdr:to>
    <mc:AlternateContent xmlns:mc="http://schemas.openxmlformats.org/markup-compatibility/2006">
      <mc:Choice xmlns:tsle="http://schemas.microsoft.com/office/drawing/2012/timeslicer" Requires="tsle">
        <xdr:graphicFrame macro="">
          <xdr:nvGraphicFramePr>
            <xdr:cNvPr id="17" name="End Date Clean">
              <a:extLst>
                <a:ext uri="{FF2B5EF4-FFF2-40B4-BE49-F238E27FC236}">
                  <a16:creationId xmlns:a16="http://schemas.microsoft.com/office/drawing/2014/main" id="{B2AB7594-6E9A-F7AD-FD42-EAE69704241C}"/>
                </a:ext>
              </a:extLst>
            </xdr:cNvPr>
            <xdr:cNvGraphicFramePr/>
          </xdr:nvGraphicFramePr>
          <xdr:xfrm>
            <a:off x="0" y="0"/>
            <a:ext cx="0" cy="0"/>
          </xdr:xfrm>
          <a:graphic>
            <a:graphicData uri="http://schemas.microsoft.com/office/drawing/2012/timeslicer">
              <tsle:timeslicer xmlns:tsle="http://schemas.microsoft.com/office/drawing/2012/timeslicer" name="End Date Clean"/>
            </a:graphicData>
          </a:graphic>
        </xdr:graphicFrame>
      </mc:Choice>
      <mc:Fallback>
        <xdr:sp macro="" textlink="">
          <xdr:nvSpPr>
            <xdr:cNvPr id="0" name=""/>
            <xdr:cNvSpPr>
              <a:spLocks noTextEdit="1"/>
            </xdr:cNvSpPr>
          </xdr:nvSpPr>
          <xdr:spPr>
            <a:xfrm>
              <a:off x="19601180" y="2565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99059</xdr:colOff>
      <xdr:row>0</xdr:row>
      <xdr:rowOff>68580</xdr:rowOff>
    </xdr:from>
    <xdr:to>
      <xdr:col>25</xdr:col>
      <xdr:colOff>457200</xdr:colOff>
      <xdr:row>39</xdr:row>
      <xdr:rowOff>63500</xdr:rowOff>
    </xdr:to>
    <xdr:sp macro="" textlink="">
      <xdr:nvSpPr>
        <xdr:cNvPr id="2" name="Rectangle 1">
          <a:extLst>
            <a:ext uri="{FF2B5EF4-FFF2-40B4-BE49-F238E27FC236}">
              <a16:creationId xmlns:a16="http://schemas.microsoft.com/office/drawing/2014/main" id="{05042A3D-66E7-4EC7-71D4-B50CF6613336}"/>
            </a:ext>
          </a:extLst>
        </xdr:cNvPr>
        <xdr:cNvSpPr/>
      </xdr:nvSpPr>
      <xdr:spPr>
        <a:xfrm>
          <a:off x="99059" y="68580"/>
          <a:ext cx="15598141" cy="692912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133349</xdr:colOff>
      <xdr:row>0</xdr:row>
      <xdr:rowOff>142876</xdr:rowOff>
    </xdr:from>
    <xdr:to>
      <xdr:col>11</xdr:col>
      <xdr:colOff>590550</xdr:colOff>
      <xdr:row>4</xdr:row>
      <xdr:rowOff>28576</xdr:rowOff>
    </xdr:to>
    <xdr:sp macro="" textlink="">
      <xdr:nvSpPr>
        <xdr:cNvPr id="3" name="Rectangle 2">
          <a:extLst>
            <a:ext uri="{FF2B5EF4-FFF2-40B4-BE49-F238E27FC236}">
              <a16:creationId xmlns:a16="http://schemas.microsoft.com/office/drawing/2014/main" id="{34EB1F2C-F303-3D60-6305-73B7FC9B756F}"/>
            </a:ext>
          </a:extLst>
        </xdr:cNvPr>
        <xdr:cNvSpPr/>
      </xdr:nvSpPr>
      <xdr:spPr>
        <a:xfrm>
          <a:off x="1352549" y="142876"/>
          <a:ext cx="5943601" cy="609600"/>
        </a:xfrm>
        <a:prstGeom prst="rect">
          <a:avLst/>
        </a:prstGeom>
        <a:solidFill>
          <a:schemeClr val="bg1">
            <a:lumMod val="65000"/>
          </a:schemeClr>
        </a:solidFill>
        <a:ln>
          <a:solidFill>
            <a:schemeClr val="tx1">
              <a:lumMod val="95000"/>
              <a:lumOff val="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solidFill>
                <a:schemeClr val="bg1"/>
              </a:solidFill>
            </a:rPr>
            <a:t>Employee MIS Dashboard in Excel</a:t>
          </a:r>
        </a:p>
      </xdr:txBody>
    </xdr:sp>
    <xdr:clientData/>
  </xdr:twoCellAnchor>
  <xdr:twoCellAnchor>
    <xdr:from>
      <xdr:col>12</xdr:col>
      <xdr:colOff>76199</xdr:colOff>
      <xdr:row>0</xdr:row>
      <xdr:rowOff>142875</xdr:rowOff>
    </xdr:from>
    <xdr:to>
      <xdr:col>15</xdr:col>
      <xdr:colOff>257175</xdr:colOff>
      <xdr:row>4</xdr:row>
      <xdr:rowOff>38100</xdr:rowOff>
    </xdr:to>
    <xdr:sp macro="" textlink="$AA$9">
      <xdr:nvSpPr>
        <xdr:cNvPr id="6" name="Rectangle 5">
          <a:extLst>
            <a:ext uri="{FF2B5EF4-FFF2-40B4-BE49-F238E27FC236}">
              <a16:creationId xmlns:a16="http://schemas.microsoft.com/office/drawing/2014/main" id="{FBDEADFC-741F-8676-061B-061CB719D522}"/>
            </a:ext>
          </a:extLst>
        </xdr:cNvPr>
        <xdr:cNvSpPr/>
      </xdr:nvSpPr>
      <xdr:spPr>
        <a:xfrm>
          <a:off x="7391399" y="142875"/>
          <a:ext cx="2009776" cy="619125"/>
        </a:xfrm>
        <a:prstGeom prst="rect">
          <a:avLst/>
        </a:prstGeom>
        <a:solidFill>
          <a:srgbClr val="E7F0FA"/>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u="none" strike="noStrike">
              <a:solidFill>
                <a:srgbClr val="000000"/>
              </a:solidFill>
              <a:latin typeface="Calibri"/>
              <a:ea typeface="Calibri"/>
              <a:cs typeface="Calibri"/>
            </a:rPr>
            <a:t>           Total_Emp</a:t>
          </a:r>
        </a:p>
        <a:p>
          <a:pPr algn="l"/>
          <a:r>
            <a:rPr lang="en-US" sz="1600" b="1" i="0" u="none" strike="noStrike">
              <a:solidFill>
                <a:srgbClr val="000000"/>
              </a:solidFill>
              <a:latin typeface="Calibri"/>
              <a:ea typeface="Calibri"/>
              <a:cs typeface="Calibri"/>
            </a:rPr>
            <a:t>                </a:t>
          </a:r>
          <a:fld id="{E7F9C945-6EDE-46EF-A065-D927A17FA9F0}" type="TxLink">
            <a:rPr lang="en-US" sz="1600" b="1" i="0" u="none" strike="noStrike">
              <a:solidFill>
                <a:srgbClr val="000000"/>
              </a:solidFill>
              <a:latin typeface="Calibri"/>
              <a:ea typeface="Calibri"/>
              <a:cs typeface="Calibri"/>
            </a:rPr>
            <a:t>300</a:t>
          </a:fld>
          <a:endParaRPr lang="en-US" sz="1600" b="1"/>
        </a:p>
      </xdr:txBody>
    </xdr:sp>
    <xdr:clientData/>
  </xdr:twoCellAnchor>
  <xdr:twoCellAnchor editAs="oneCell">
    <xdr:from>
      <xdr:col>0</xdr:col>
      <xdr:colOff>209550</xdr:colOff>
      <xdr:row>0</xdr:row>
      <xdr:rowOff>161927</xdr:rowOff>
    </xdr:from>
    <xdr:to>
      <xdr:col>2</xdr:col>
      <xdr:colOff>57150</xdr:colOff>
      <xdr:row>4</xdr:row>
      <xdr:rowOff>19051</xdr:rowOff>
    </xdr:to>
    <xdr:pic>
      <xdr:nvPicPr>
        <xdr:cNvPr id="8" name="Picture 7">
          <a:extLst>
            <a:ext uri="{FF2B5EF4-FFF2-40B4-BE49-F238E27FC236}">
              <a16:creationId xmlns:a16="http://schemas.microsoft.com/office/drawing/2014/main" id="{2814FE0E-2680-D3A2-8C4C-A15F90DD69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61927"/>
          <a:ext cx="1066800" cy="581024"/>
        </a:xfrm>
        <a:prstGeom prst="rect">
          <a:avLst/>
        </a:prstGeom>
      </xdr:spPr>
    </xdr:pic>
    <xdr:clientData/>
  </xdr:twoCellAnchor>
  <xdr:twoCellAnchor editAs="oneCell">
    <xdr:from>
      <xdr:col>4</xdr:col>
      <xdr:colOff>122190</xdr:colOff>
      <xdr:row>4</xdr:row>
      <xdr:rowOff>101236</xdr:rowOff>
    </xdr:from>
    <xdr:to>
      <xdr:col>8</xdr:col>
      <xdr:colOff>522513</xdr:colOff>
      <xdr:row>12</xdr:row>
      <xdr:rowOff>43543</xdr:rowOff>
    </xdr:to>
    <mc:AlternateContent xmlns:mc="http://schemas.openxmlformats.org/markup-compatibility/2006">
      <mc:Choice xmlns:tsle="http://schemas.microsoft.com/office/drawing/2012/timeslicer" Requires="tsle">
        <xdr:graphicFrame macro="">
          <xdr:nvGraphicFramePr>
            <xdr:cNvPr id="9" name="Join Date Clean 1">
              <a:extLst>
                <a:ext uri="{FF2B5EF4-FFF2-40B4-BE49-F238E27FC236}">
                  <a16:creationId xmlns:a16="http://schemas.microsoft.com/office/drawing/2014/main" id="{0717D643-1027-4F34-BCE1-8C38FBD9FB7F}"/>
                </a:ext>
              </a:extLst>
            </xdr:cNvPr>
            <xdr:cNvGraphicFramePr/>
          </xdr:nvGraphicFramePr>
          <xdr:xfrm>
            <a:off x="0" y="0"/>
            <a:ext cx="0" cy="0"/>
          </xdr:xfrm>
          <a:graphic>
            <a:graphicData uri="http://schemas.microsoft.com/office/drawing/2012/timeslicer">
              <tsle:timeslicer xmlns:tsle="http://schemas.microsoft.com/office/drawing/2012/timeslicer" name="Join Date Clean 1"/>
            </a:graphicData>
          </a:graphic>
        </xdr:graphicFrame>
      </mc:Choice>
      <mc:Fallback>
        <xdr:sp macro="" textlink="">
          <xdr:nvSpPr>
            <xdr:cNvPr id="0" name=""/>
            <xdr:cNvSpPr>
              <a:spLocks noTextEdit="1"/>
            </xdr:cNvSpPr>
          </xdr:nvSpPr>
          <xdr:spPr>
            <a:xfrm>
              <a:off x="2560590" y="825136"/>
              <a:ext cx="2838723" cy="13901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327660</xdr:colOff>
      <xdr:row>0</xdr:row>
      <xdr:rowOff>144780</xdr:rowOff>
    </xdr:from>
    <xdr:to>
      <xdr:col>18</xdr:col>
      <xdr:colOff>508636</xdr:colOff>
      <xdr:row>4</xdr:row>
      <xdr:rowOff>30480</xdr:rowOff>
    </xdr:to>
    <xdr:sp macro="" textlink="$AA$11">
      <xdr:nvSpPr>
        <xdr:cNvPr id="10" name="Rectangle 9">
          <a:extLst>
            <a:ext uri="{FF2B5EF4-FFF2-40B4-BE49-F238E27FC236}">
              <a16:creationId xmlns:a16="http://schemas.microsoft.com/office/drawing/2014/main" id="{4C665B07-9003-4E1B-82C7-8286EE7086D2}"/>
            </a:ext>
          </a:extLst>
        </xdr:cNvPr>
        <xdr:cNvSpPr/>
      </xdr:nvSpPr>
      <xdr:spPr>
        <a:xfrm>
          <a:off x="9471660" y="144780"/>
          <a:ext cx="2009776" cy="609600"/>
        </a:xfrm>
        <a:prstGeom prst="rect">
          <a:avLst/>
        </a:prstGeom>
        <a:solidFill>
          <a:srgbClr val="E6F4EA"/>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ACTIVE_Emp                      </a:t>
          </a:r>
        </a:p>
        <a:p>
          <a:pPr algn="ctr"/>
          <a:fld id="{CBE5CBE1-6160-44E2-83F4-9C8CCE19FBB4}" type="TxLink">
            <a:rPr lang="en-US" sz="1600" b="1" i="0" u="none" strike="noStrike">
              <a:solidFill>
                <a:srgbClr val="000000"/>
              </a:solidFill>
              <a:latin typeface="Calibri"/>
              <a:ea typeface="Calibri"/>
              <a:cs typeface="Calibri"/>
            </a:rPr>
            <a:pPr algn="ctr"/>
            <a:t>105</a:t>
          </a:fld>
          <a:endParaRPr lang="en-IN" sz="1600" b="1"/>
        </a:p>
      </xdr:txBody>
    </xdr:sp>
    <xdr:clientData/>
  </xdr:twoCellAnchor>
  <xdr:twoCellAnchor>
    <xdr:from>
      <xdr:col>18</xdr:col>
      <xdr:colOff>575310</xdr:colOff>
      <xdr:row>0</xdr:row>
      <xdr:rowOff>144780</xdr:rowOff>
    </xdr:from>
    <xdr:to>
      <xdr:col>22</xdr:col>
      <xdr:colOff>146686</xdr:colOff>
      <xdr:row>4</xdr:row>
      <xdr:rowOff>30480</xdr:rowOff>
    </xdr:to>
    <xdr:sp macro="" textlink="$AA$12">
      <xdr:nvSpPr>
        <xdr:cNvPr id="11" name="Rectangle 10">
          <a:extLst>
            <a:ext uri="{FF2B5EF4-FFF2-40B4-BE49-F238E27FC236}">
              <a16:creationId xmlns:a16="http://schemas.microsoft.com/office/drawing/2014/main" id="{AB8BA423-806D-422A-9885-287436167F52}"/>
            </a:ext>
          </a:extLst>
        </xdr:cNvPr>
        <xdr:cNvSpPr/>
      </xdr:nvSpPr>
      <xdr:spPr>
        <a:xfrm>
          <a:off x="11548110" y="144780"/>
          <a:ext cx="2009776" cy="609600"/>
        </a:xfrm>
        <a:prstGeom prst="rect">
          <a:avLst/>
        </a:prstGeom>
        <a:solidFill>
          <a:srgbClr val="E7F0FA"/>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RESIGNED_Emp               </a:t>
          </a:r>
        </a:p>
        <a:p>
          <a:pPr algn="ctr"/>
          <a:fld id="{0F448A6C-FD55-405E-A976-D94BD82A0C3E}" type="TxLink">
            <a:rPr lang="en-US" sz="1600" b="1" i="0" u="none" strike="noStrike">
              <a:solidFill>
                <a:srgbClr val="000000"/>
              </a:solidFill>
              <a:latin typeface="Calibri"/>
              <a:ea typeface="Calibri"/>
              <a:cs typeface="Calibri"/>
            </a:rPr>
            <a:pPr algn="ctr"/>
            <a:t>120</a:t>
          </a:fld>
          <a:endParaRPr lang="en-IN" sz="1600" b="1"/>
        </a:p>
      </xdr:txBody>
    </xdr:sp>
    <xdr:clientData/>
  </xdr:twoCellAnchor>
  <xdr:twoCellAnchor>
    <xdr:from>
      <xdr:col>22</xdr:col>
      <xdr:colOff>213360</xdr:colOff>
      <xdr:row>0</xdr:row>
      <xdr:rowOff>144780</xdr:rowOff>
    </xdr:from>
    <xdr:to>
      <xdr:col>25</xdr:col>
      <xdr:colOff>394336</xdr:colOff>
      <xdr:row>4</xdr:row>
      <xdr:rowOff>30480</xdr:rowOff>
    </xdr:to>
    <xdr:sp macro="" textlink="$AA$13">
      <xdr:nvSpPr>
        <xdr:cNvPr id="12" name="Rectangle 11">
          <a:extLst>
            <a:ext uri="{FF2B5EF4-FFF2-40B4-BE49-F238E27FC236}">
              <a16:creationId xmlns:a16="http://schemas.microsoft.com/office/drawing/2014/main" id="{39DE630B-4A16-41C5-9283-20E801C78143}"/>
            </a:ext>
          </a:extLst>
        </xdr:cNvPr>
        <xdr:cNvSpPr/>
      </xdr:nvSpPr>
      <xdr:spPr>
        <a:xfrm>
          <a:off x="13624560" y="144780"/>
          <a:ext cx="2009776" cy="609600"/>
        </a:xfrm>
        <a:prstGeom prst="rect">
          <a:avLst/>
        </a:prstGeom>
        <a:solidFill>
          <a:srgbClr val="E6F4EA"/>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ON HOLD                </a:t>
          </a:r>
        </a:p>
        <a:p>
          <a:pPr algn="ctr"/>
          <a:fld id="{F1045ADB-6C2D-45E7-9799-AD4C85514249}" type="TxLink">
            <a:rPr lang="en-US" sz="1600" b="1" i="0" u="none" strike="noStrike">
              <a:solidFill>
                <a:srgbClr val="000000"/>
              </a:solidFill>
              <a:latin typeface="Calibri"/>
              <a:ea typeface="Calibri"/>
              <a:cs typeface="Calibri"/>
            </a:rPr>
            <a:pPr algn="ctr"/>
            <a:t>75</a:t>
          </a:fld>
          <a:endParaRPr lang="en-IN" sz="1600" b="1"/>
        </a:p>
      </xdr:txBody>
    </xdr:sp>
    <xdr:clientData/>
  </xdr:twoCellAnchor>
  <xdr:twoCellAnchor editAs="oneCell">
    <xdr:from>
      <xdr:col>0</xdr:col>
      <xdr:colOff>158477</xdr:colOff>
      <xdr:row>4</xdr:row>
      <xdr:rowOff>94342</xdr:rowOff>
    </xdr:from>
    <xdr:to>
      <xdr:col>4</xdr:col>
      <xdr:colOff>54429</xdr:colOff>
      <xdr:row>15</xdr:row>
      <xdr:rowOff>0</xdr:rowOff>
    </xdr:to>
    <mc:AlternateContent xmlns:mc="http://schemas.openxmlformats.org/markup-compatibility/2006">
      <mc:Choice xmlns:a14="http://schemas.microsoft.com/office/drawing/2010/main" Requires="a14">
        <xdr:graphicFrame macro="">
          <xdr:nvGraphicFramePr>
            <xdr:cNvPr id="13" name="Salary 1">
              <a:extLst>
                <a:ext uri="{FF2B5EF4-FFF2-40B4-BE49-F238E27FC236}">
                  <a16:creationId xmlns:a16="http://schemas.microsoft.com/office/drawing/2014/main" id="{827958FB-8523-4EF1-944E-FCB918C924A8}"/>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dr:sp macro="" textlink="">
          <xdr:nvSpPr>
            <xdr:cNvPr id="0" name=""/>
            <xdr:cNvSpPr>
              <a:spLocks noTextEdit="1"/>
            </xdr:cNvSpPr>
          </xdr:nvSpPr>
          <xdr:spPr>
            <a:xfrm>
              <a:off x="158477" y="818242"/>
              <a:ext cx="2334352" cy="1896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160655</xdr:colOff>
      <xdr:row>24</xdr:row>
      <xdr:rowOff>63047</xdr:rowOff>
    </xdr:from>
    <xdr:to>
      <xdr:col>4</xdr:col>
      <xdr:colOff>43543</xdr:colOff>
      <xdr:row>32</xdr:row>
      <xdr:rowOff>0</xdr:rowOff>
    </xdr:to>
    <mc:AlternateContent xmlns:mc="http://schemas.openxmlformats.org/markup-compatibility/2006">
      <mc:Choice xmlns:a14="http://schemas.microsoft.com/office/drawing/2010/main" Requires="a14">
        <xdr:graphicFrame macro="">
          <xdr:nvGraphicFramePr>
            <xdr:cNvPr id="14" name="Salary Range 1">
              <a:extLst>
                <a:ext uri="{FF2B5EF4-FFF2-40B4-BE49-F238E27FC236}">
                  <a16:creationId xmlns:a16="http://schemas.microsoft.com/office/drawing/2014/main" id="{1D9DC1FC-8BA0-4201-A8B6-2A32D0A0CFF3}"/>
                </a:ext>
              </a:extLst>
            </xdr:cNvPr>
            <xdr:cNvGraphicFramePr/>
          </xdr:nvGraphicFramePr>
          <xdr:xfrm>
            <a:off x="0" y="0"/>
            <a:ext cx="0" cy="0"/>
          </xdr:xfrm>
          <a:graphic>
            <a:graphicData uri="http://schemas.microsoft.com/office/drawing/2010/slicer">
              <sle:slicer xmlns:sle="http://schemas.microsoft.com/office/drawing/2010/slicer" name="Salary Range 1"/>
            </a:graphicData>
          </a:graphic>
        </xdr:graphicFrame>
      </mc:Choice>
      <mc:Fallback>
        <xdr:sp macro="" textlink="">
          <xdr:nvSpPr>
            <xdr:cNvPr id="0" name=""/>
            <xdr:cNvSpPr>
              <a:spLocks noTextEdit="1"/>
            </xdr:cNvSpPr>
          </xdr:nvSpPr>
          <xdr:spPr>
            <a:xfrm>
              <a:off x="160655" y="4406447"/>
              <a:ext cx="2321288" cy="1384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163285</xdr:colOff>
      <xdr:row>32</xdr:row>
      <xdr:rowOff>56244</xdr:rowOff>
    </xdr:from>
    <xdr:to>
      <xdr:col>4</xdr:col>
      <xdr:colOff>43542</xdr:colOff>
      <xdr:row>38</xdr:row>
      <xdr:rowOff>119743</xdr:rowOff>
    </xdr:to>
    <mc:AlternateContent xmlns:mc="http://schemas.openxmlformats.org/markup-compatibility/2006">
      <mc:Choice xmlns:a14="http://schemas.microsoft.com/office/drawing/2010/main" Requires="a14">
        <xdr:graphicFrame macro="">
          <xdr:nvGraphicFramePr>
            <xdr:cNvPr id="15" name="Status Clean 1">
              <a:extLst>
                <a:ext uri="{FF2B5EF4-FFF2-40B4-BE49-F238E27FC236}">
                  <a16:creationId xmlns:a16="http://schemas.microsoft.com/office/drawing/2014/main" id="{2A69784A-61E7-4663-A25B-1A53DFF2976A}"/>
                </a:ext>
              </a:extLst>
            </xdr:cNvPr>
            <xdr:cNvGraphicFramePr/>
          </xdr:nvGraphicFramePr>
          <xdr:xfrm>
            <a:off x="0" y="0"/>
            <a:ext cx="0" cy="0"/>
          </xdr:xfrm>
          <a:graphic>
            <a:graphicData uri="http://schemas.microsoft.com/office/drawing/2010/slicer">
              <sle:slicer xmlns:sle="http://schemas.microsoft.com/office/drawing/2010/slicer" name="Status Clean 1"/>
            </a:graphicData>
          </a:graphic>
        </xdr:graphicFrame>
      </mc:Choice>
      <mc:Fallback>
        <xdr:sp macro="" textlink="">
          <xdr:nvSpPr>
            <xdr:cNvPr id="0" name=""/>
            <xdr:cNvSpPr>
              <a:spLocks noTextEdit="1"/>
            </xdr:cNvSpPr>
          </xdr:nvSpPr>
          <xdr:spPr>
            <a:xfrm>
              <a:off x="163285" y="5847444"/>
              <a:ext cx="2318657" cy="1149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144507</xdr:colOff>
      <xdr:row>15</xdr:row>
      <xdr:rowOff>34563</xdr:rowOff>
    </xdr:from>
    <xdr:to>
      <xdr:col>4</xdr:col>
      <xdr:colOff>65314</xdr:colOff>
      <xdr:row>24</xdr:row>
      <xdr:rowOff>10886</xdr:rowOff>
    </xdr:to>
    <mc:AlternateContent xmlns:mc="http://schemas.openxmlformats.org/markup-compatibility/2006">
      <mc:Choice xmlns:a14="http://schemas.microsoft.com/office/drawing/2010/main" Requires="a14">
        <xdr:graphicFrame macro="">
          <xdr:nvGraphicFramePr>
            <xdr:cNvPr id="16" name="Experience Years 1">
              <a:extLst>
                <a:ext uri="{FF2B5EF4-FFF2-40B4-BE49-F238E27FC236}">
                  <a16:creationId xmlns:a16="http://schemas.microsoft.com/office/drawing/2014/main" id="{BE9FAB67-E4EF-45CD-8C74-606756D8C375}"/>
                </a:ext>
              </a:extLst>
            </xdr:cNvPr>
            <xdr:cNvGraphicFramePr/>
          </xdr:nvGraphicFramePr>
          <xdr:xfrm>
            <a:off x="0" y="0"/>
            <a:ext cx="0" cy="0"/>
          </xdr:xfrm>
          <a:graphic>
            <a:graphicData uri="http://schemas.microsoft.com/office/drawing/2010/slicer">
              <sle:slicer xmlns:sle="http://schemas.microsoft.com/office/drawing/2010/slicer" name="Experience Years 1"/>
            </a:graphicData>
          </a:graphic>
        </xdr:graphicFrame>
      </mc:Choice>
      <mc:Fallback>
        <xdr:sp macro="" textlink="">
          <xdr:nvSpPr>
            <xdr:cNvPr id="0" name=""/>
            <xdr:cNvSpPr>
              <a:spLocks noTextEdit="1"/>
            </xdr:cNvSpPr>
          </xdr:nvSpPr>
          <xdr:spPr>
            <a:xfrm>
              <a:off x="144507" y="2749188"/>
              <a:ext cx="2359207" cy="1605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567145</xdr:colOff>
      <xdr:row>4</xdr:row>
      <xdr:rowOff>101237</xdr:rowOff>
    </xdr:from>
    <xdr:to>
      <xdr:col>14</xdr:col>
      <xdr:colOff>247105</xdr:colOff>
      <xdr:row>12</xdr:row>
      <xdr:rowOff>65314</xdr:rowOff>
    </xdr:to>
    <mc:AlternateContent xmlns:mc="http://schemas.openxmlformats.org/markup-compatibility/2006">
      <mc:Choice xmlns:tsle="http://schemas.microsoft.com/office/drawing/2012/timeslicer" Requires="tsle">
        <xdr:graphicFrame macro="">
          <xdr:nvGraphicFramePr>
            <xdr:cNvPr id="18" name="End Date Clean 1">
              <a:extLst>
                <a:ext uri="{FF2B5EF4-FFF2-40B4-BE49-F238E27FC236}">
                  <a16:creationId xmlns:a16="http://schemas.microsoft.com/office/drawing/2014/main" id="{A68C7510-4133-4B48-AF12-7D34366BC516}"/>
                </a:ext>
              </a:extLst>
            </xdr:cNvPr>
            <xdr:cNvGraphicFramePr/>
          </xdr:nvGraphicFramePr>
          <xdr:xfrm>
            <a:off x="0" y="0"/>
            <a:ext cx="0" cy="0"/>
          </xdr:xfrm>
          <a:graphic>
            <a:graphicData uri="http://schemas.microsoft.com/office/drawing/2012/timeslicer">
              <tsle:timeslicer xmlns:tsle="http://schemas.microsoft.com/office/drawing/2012/timeslicer" name="End Date Clean 1"/>
            </a:graphicData>
          </a:graphic>
        </xdr:graphicFrame>
      </mc:Choice>
      <mc:Fallback>
        <xdr:sp macro="" textlink="">
          <xdr:nvSpPr>
            <xdr:cNvPr id="0" name=""/>
            <xdr:cNvSpPr>
              <a:spLocks noTextEdit="1"/>
            </xdr:cNvSpPr>
          </xdr:nvSpPr>
          <xdr:spPr>
            <a:xfrm>
              <a:off x="5443945" y="825137"/>
              <a:ext cx="3337560" cy="14118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120828</xdr:colOff>
      <xdr:row>12</xdr:row>
      <xdr:rowOff>123008</xdr:rowOff>
    </xdr:from>
    <xdr:to>
      <xdr:col>14</xdr:col>
      <xdr:colOff>250371</xdr:colOff>
      <xdr:row>22</xdr:row>
      <xdr:rowOff>152400</xdr:rowOff>
    </xdr:to>
    <xdr:graphicFrame macro="">
      <xdr:nvGraphicFramePr>
        <xdr:cNvPr id="19" name="Chart 18">
          <a:extLst>
            <a:ext uri="{FF2B5EF4-FFF2-40B4-BE49-F238E27FC236}">
              <a16:creationId xmlns:a16="http://schemas.microsoft.com/office/drawing/2014/main" id="{6ED969E3-81BD-4DA9-B062-50E5F27CD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304799</xdr:colOff>
      <xdr:row>4</xdr:row>
      <xdr:rowOff>87086</xdr:rowOff>
    </xdr:from>
    <xdr:to>
      <xdr:col>25</xdr:col>
      <xdr:colOff>390524</xdr:colOff>
      <xdr:row>20</xdr:row>
      <xdr:rowOff>54428</xdr:rowOff>
    </xdr:to>
    <xdr:graphicFrame macro="">
      <xdr:nvGraphicFramePr>
        <xdr:cNvPr id="21" name="Chart 20">
          <a:extLst>
            <a:ext uri="{FF2B5EF4-FFF2-40B4-BE49-F238E27FC236}">
              <a16:creationId xmlns:a16="http://schemas.microsoft.com/office/drawing/2014/main" id="{38DCA205-3249-4BA4-ACDA-A8A2C48D6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318588</xdr:colOff>
      <xdr:row>20</xdr:row>
      <xdr:rowOff>93797</xdr:rowOff>
    </xdr:from>
    <xdr:to>
      <xdr:col>25</xdr:col>
      <xdr:colOff>400050</xdr:colOff>
      <xdr:row>38</xdr:row>
      <xdr:rowOff>119743</xdr:rowOff>
    </xdr:to>
    <xdr:graphicFrame macro="">
      <xdr:nvGraphicFramePr>
        <xdr:cNvPr id="22" name="Chart 21">
          <a:extLst>
            <a:ext uri="{FF2B5EF4-FFF2-40B4-BE49-F238E27FC236}">
              <a16:creationId xmlns:a16="http://schemas.microsoft.com/office/drawing/2014/main" id="{CF077497-D12D-482B-B81A-E7FB07502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108857</xdr:colOff>
      <xdr:row>23</xdr:row>
      <xdr:rowOff>21772</xdr:rowOff>
    </xdr:from>
    <xdr:to>
      <xdr:col>14</xdr:col>
      <xdr:colOff>250372</xdr:colOff>
      <xdr:row>38</xdr:row>
      <xdr:rowOff>119743</xdr:rowOff>
    </xdr:to>
    <xdr:graphicFrame macro="">
      <xdr:nvGraphicFramePr>
        <xdr:cNvPr id="23" name="Chart 22">
          <a:extLst>
            <a:ext uri="{FF2B5EF4-FFF2-40B4-BE49-F238E27FC236}">
              <a16:creationId xmlns:a16="http://schemas.microsoft.com/office/drawing/2014/main" id="{9141A446-EEAF-4CDF-A265-9F13F1B46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usiful Haque" refreshedDate="46024.029276851848" createdVersion="8" refreshedVersion="8" minRefreshableVersion="3" recordCount="300" xr:uid="{F7501E92-4B2E-415C-A125-2E3AE61CB1BA}">
  <cacheSource type="worksheet">
    <worksheetSource ref="A1:AA301" sheet="Clean_Data"/>
  </cacheSource>
  <cacheFields count="27">
    <cacheField name="Emp ID Clean" numFmtId="0">
      <sharedItems count="300">
        <s v="EMP1"/>
        <s v="EMP2"/>
        <s v="EMP3"/>
        <s v="EMP4"/>
        <s v="EMP5"/>
        <s v="EMP6"/>
        <s v="EMP7"/>
        <s v="EMP8"/>
        <s v="EMP9"/>
        <s v="EMP10"/>
        <s v="EMP11"/>
        <s v="EMP12"/>
        <s v="EMP13"/>
        <s v="EMP14"/>
        <s v="EMP15"/>
        <s v="EMP16"/>
        <s v="EMP17"/>
        <s v="EMP18"/>
        <s v="EMP19"/>
        <s v="EMP20"/>
        <s v="EMP21"/>
        <s v="EMP22"/>
        <s v="EMP23"/>
        <s v="EMP24"/>
        <s v="EMP25"/>
        <s v="EMP26"/>
        <s v="EMP27"/>
        <s v="EMP28"/>
        <s v="EMP29"/>
        <s v="EMP30"/>
        <s v="EMP31"/>
        <s v="EMP32"/>
        <s v="EMP33"/>
        <s v="EMP34"/>
        <s v="EMP35"/>
        <s v="EMP36"/>
        <s v="EMP37"/>
        <s v="EMP38"/>
        <s v="EMP39"/>
        <s v="EMP40"/>
        <s v="EMP41"/>
        <s v="EMP42"/>
        <s v="EMP43"/>
        <s v="EMP44"/>
        <s v="EMP45"/>
        <s v="EMP46"/>
        <s v="EMP47"/>
        <s v="EMP48"/>
        <s v="EMP49"/>
        <s v="EMP50"/>
        <s v="EMP51"/>
        <s v="EMP52"/>
        <s v="EMP53"/>
        <s v="EMP54"/>
        <s v="EMP55"/>
        <s v="EMP56"/>
        <s v="EMP57"/>
        <s v="EMP58"/>
        <s v="EMP59"/>
        <s v="EMP60"/>
        <s v="EMP61"/>
        <s v="EMP62"/>
        <s v="EMP63"/>
        <s v="EMP64"/>
        <s v="EMP65"/>
        <s v="EMP66"/>
        <s v="EMP67"/>
        <s v="EMP68"/>
        <s v="EMP69"/>
        <s v="EMP70"/>
        <s v="EMP71"/>
        <s v="EMP72"/>
        <s v="EMP73"/>
        <s v="EMP74"/>
        <s v="EMP75"/>
        <s v="EMP76"/>
        <s v="EMP77"/>
        <s v="EMP78"/>
        <s v="EMP79"/>
        <s v="EMP80"/>
        <s v="EMP81"/>
        <s v="EMP82"/>
        <s v="EMP83"/>
        <s v="EMP84"/>
        <s v="EMP85"/>
        <s v="EMP86"/>
        <s v="EMP87"/>
        <s v="EMP88"/>
        <s v="EMP89"/>
        <s v="EMP90"/>
        <s v="EMP91"/>
        <s v="EMP92"/>
        <s v="EMP93"/>
        <s v="EMP94"/>
        <s v="EMP95"/>
        <s v="EMP96"/>
        <s v="EMP97"/>
        <s v="EMP98"/>
        <s v="EMP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haredItems>
    </cacheField>
    <cacheField name="Emp Name Clean" numFmtId="0">
      <sharedItems/>
    </cacheField>
    <cacheField name="Department Clean" numFmtId="0">
      <sharedItems count="4">
        <s v="IT"/>
        <s v="FINANCE"/>
        <s v="HR"/>
        <s v="SALES"/>
      </sharedItems>
    </cacheField>
    <cacheField name="Join Date Clean" numFmtId="14">
      <sharedItems containsSemiMixedTypes="0" containsNonDate="0" containsDate="1" containsString="0" minDate="2019-01-01T00:00:00" maxDate="2023-12-05T00:00:00" count="278">
        <d v="2022-01-17T00:00:00"/>
        <d v="2023-08-13T00:00:00"/>
        <d v="2022-11-25T00:00:00"/>
        <d v="2020-09-14T00:00:00"/>
        <d v="2021-11-16T00:00:00"/>
        <d v="2019-10-06T00:00:00"/>
        <d v="2021-01-18T00:00:00"/>
        <d v="2022-06-14T00:00:00"/>
        <d v="2023-02-02T00:00:00"/>
        <d v="2021-08-16T00:00:00"/>
        <d v="2019-02-01T00:00:00"/>
        <d v="2019-03-08T00:00:00"/>
        <d v="2022-09-07T00:00:00"/>
        <d v="2020-06-09T00:00:00"/>
        <d v="2023-02-08T00:00:00"/>
        <d v="2023-11-05T00:00:00"/>
        <d v="2019-05-28T00:00:00"/>
        <d v="2020-03-27T00:00:00"/>
        <d v="2020-01-21T00:00:00"/>
        <d v="2023-08-23T00:00:00"/>
        <d v="2022-07-21T00:00:00"/>
        <d v="2022-05-04T00:00:00"/>
        <d v="2022-12-23T00:00:00"/>
        <d v="2021-05-31T00:00:00"/>
        <d v="2019-11-12T00:00:00"/>
        <d v="2019-04-07T00:00:00"/>
        <d v="2023-03-26T00:00:00"/>
        <d v="2021-05-14T00:00:00"/>
        <d v="2021-06-05T00:00:00"/>
        <d v="2019-01-26T00:00:00"/>
        <d v="2023-09-06T00:00:00"/>
        <d v="2023-11-02T00:00:00"/>
        <d v="2020-11-20T00:00:00"/>
        <d v="2023-04-23T00:00:00"/>
        <d v="2023-04-03T00:00:00"/>
        <d v="2020-12-09T00:00:00"/>
        <d v="2019-07-06T00:00:00"/>
        <d v="2021-02-07T00:00:00"/>
        <d v="2020-06-15T00:00:00"/>
        <d v="2019-05-10T00:00:00"/>
        <d v="2022-05-13T00:00:00"/>
        <d v="2020-05-13T00:00:00"/>
        <d v="2020-05-12T00:00:00"/>
        <d v="2019-02-13T00:00:00"/>
        <d v="2023-03-13T00:00:00"/>
        <d v="2021-09-23T00:00:00"/>
        <d v="2022-09-27T00:00:00"/>
        <d v="2023-09-14T00:00:00"/>
        <d v="2020-06-23T00:00:00"/>
        <d v="2019-01-01T00:00:00"/>
        <d v="2021-07-11T00:00:00"/>
        <d v="2021-12-18T00:00:00"/>
        <d v="2021-02-14T00:00:00"/>
        <d v="2021-11-22T00:00:00"/>
        <d v="2022-08-05T00:00:00"/>
        <d v="2023-10-04T00:00:00"/>
        <d v="2019-07-17T00:00:00"/>
        <d v="2020-08-29T00:00:00"/>
        <d v="2020-12-18T00:00:00"/>
        <d v="2020-01-16T00:00:00"/>
        <d v="2020-09-11T00:00:00"/>
        <d v="2019-02-06T00:00:00"/>
        <d v="2020-06-11T00:00:00"/>
        <d v="2021-03-09T00:00:00"/>
        <d v="2023-03-09T00:00:00"/>
        <d v="2019-12-30T00:00:00"/>
        <d v="2019-05-29T00:00:00"/>
        <d v="2019-11-09T00:00:00"/>
        <d v="2019-08-11T00:00:00"/>
        <d v="2020-05-24T00:00:00"/>
        <d v="2021-02-08T00:00:00"/>
        <d v="2022-06-12T00:00:00"/>
        <d v="2022-03-16T00:00:00"/>
        <d v="2019-09-01T00:00:00"/>
        <d v="2023-05-19T00:00:00"/>
        <d v="2020-05-01T00:00:00"/>
        <d v="2022-10-02T00:00:00"/>
        <d v="2020-03-28T00:00:00"/>
        <d v="2019-04-19T00:00:00"/>
        <d v="2020-09-28T00:00:00"/>
        <d v="2020-12-02T00:00:00"/>
        <d v="2021-07-25T00:00:00"/>
        <d v="2020-11-11T00:00:00"/>
        <d v="2021-03-04T00:00:00"/>
        <d v="2019-12-10T00:00:00"/>
        <d v="2019-11-14T00:00:00"/>
        <d v="2022-10-24T00:00:00"/>
        <d v="2022-12-28T00:00:00"/>
        <d v="2023-11-23T00:00:00"/>
        <d v="2020-12-05T00:00:00"/>
        <d v="2021-12-14T00:00:00"/>
        <d v="2019-06-07T00:00:00"/>
        <d v="2023-12-03T00:00:00"/>
        <d v="2021-03-06T00:00:00"/>
        <d v="2023-01-05T00:00:00"/>
        <d v="2020-06-17T00:00:00"/>
        <d v="2023-05-18T00:00:00"/>
        <d v="2023-09-10T00:00:00"/>
        <d v="2021-12-02T00:00:00"/>
        <d v="2022-06-28T00:00:00"/>
        <d v="2020-03-14T00:00:00"/>
        <d v="2023-02-22T00:00:00"/>
        <d v="2021-10-08T00:00:00"/>
        <d v="2022-07-13T00:00:00"/>
        <d v="2019-11-01T00:00:00"/>
        <d v="2021-05-03T00:00:00"/>
        <d v="2022-04-21T00:00:00"/>
        <d v="2020-03-23T00:00:00"/>
        <d v="2021-12-04T00:00:00"/>
        <d v="2019-10-11T00:00:00"/>
        <d v="2019-05-03T00:00:00"/>
        <d v="2019-08-20T00:00:00"/>
        <d v="2020-08-18T00:00:00"/>
        <d v="2022-01-04T00:00:00"/>
        <d v="2020-04-19T00:00:00"/>
        <d v="2022-05-16T00:00:00"/>
        <d v="2022-08-10T00:00:00"/>
        <d v="2019-03-05T00:00:00"/>
        <d v="2020-08-16T00:00:00"/>
        <d v="2023-08-24T00:00:00"/>
        <d v="2019-07-29T00:00:00"/>
        <d v="2022-07-15T00:00:00"/>
        <d v="2020-03-03T00:00:00"/>
        <d v="2023-09-11T00:00:00"/>
        <d v="2022-02-24T00:00:00"/>
        <d v="2019-07-21T00:00:00"/>
        <d v="2021-08-29T00:00:00"/>
        <d v="2023-07-27T00:00:00"/>
        <d v="2022-02-08T00:00:00"/>
        <d v="2020-07-07T00:00:00"/>
        <d v="2021-07-24T00:00:00"/>
        <d v="2019-06-29T00:00:00"/>
        <d v="2023-03-21T00:00:00"/>
        <d v="2023-02-09T00:00:00"/>
        <d v="2022-12-11T00:00:00"/>
        <d v="2023-06-18T00:00:00"/>
        <d v="2020-04-22T00:00:00"/>
        <d v="2023-08-04T00:00:00"/>
        <d v="2019-02-14T00:00:00"/>
        <d v="2019-02-24T00:00:00"/>
        <d v="2020-08-23T00:00:00"/>
        <d v="2019-12-11T00:00:00"/>
        <d v="2021-12-30T00:00:00"/>
        <d v="2020-03-21T00:00:00"/>
        <d v="2021-04-26T00:00:00"/>
        <d v="2020-07-17T00:00:00"/>
        <d v="2019-06-05T00:00:00"/>
        <d v="2022-03-04T00:00:00"/>
        <d v="2021-06-24T00:00:00"/>
        <d v="2023-10-07T00:00:00"/>
        <d v="2021-02-19T00:00:00"/>
        <d v="2021-08-17T00:00:00"/>
        <d v="2021-03-01T00:00:00"/>
        <d v="2022-05-20T00:00:00"/>
        <d v="2022-08-20T00:00:00"/>
        <d v="2020-12-01T00:00:00"/>
        <d v="2020-03-22T00:00:00"/>
        <d v="2022-08-26T00:00:00"/>
        <d v="2020-04-01T00:00:00"/>
        <d v="2023-11-19T00:00:00"/>
        <d v="2023-09-15T00:00:00"/>
        <d v="2023-04-14T00:00:00"/>
        <d v="2020-12-06T00:00:00"/>
        <d v="2020-11-15T00:00:00"/>
        <d v="2023-06-17T00:00:00"/>
        <d v="2019-03-03T00:00:00"/>
        <d v="2021-03-29T00:00:00"/>
        <d v="2021-03-13T00:00:00"/>
        <d v="2022-07-08T00:00:00"/>
        <d v="2021-10-14T00:00:00"/>
        <d v="2020-05-20T00:00:00"/>
        <d v="2023-01-21T00:00:00"/>
        <d v="2023-09-25T00:00:00"/>
        <d v="2019-01-04T00:00:00"/>
        <d v="2019-01-17T00:00:00"/>
        <d v="2022-12-16T00:00:00"/>
        <d v="2022-07-17T00:00:00"/>
        <d v="2022-05-29T00:00:00"/>
        <d v="2022-06-07T00:00:00"/>
        <d v="2021-03-18T00:00:00"/>
        <d v="2021-04-01T00:00:00"/>
        <d v="2022-11-17T00:00:00"/>
        <d v="2023-11-08T00:00:00"/>
        <d v="2019-12-31T00:00:00"/>
        <d v="2023-08-26T00:00:00"/>
        <d v="2023-07-22T00:00:00"/>
        <d v="2023-07-02T00:00:00"/>
        <d v="2023-07-10T00:00:00"/>
        <d v="2021-11-15T00:00:00"/>
        <d v="2019-11-11T00:00:00"/>
        <d v="2019-01-24T00:00:00"/>
        <d v="2021-10-28T00:00:00"/>
        <d v="2021-04-10T00:00:00"/>
        <d v="2019-11-03T00:00:00"/>
        <d v="2022-10-05T00:00:00"/>
        <d v="2023-03-22T00:00:00"/>
        <d v="2023-03-29T00:00:00"/>
        <d v="2022-11-21T00:00:00"/>
        <d v="2023-05-21T00:00:00"/>
        <d v="2022-09-08T00:00:00"/>
        <d v="2021-07-12T00:00:00"/>
        <d v="2019-05-20T00:00:00"/>
        <d v="2021-06-19T00:00:00"/>
        <d v="2020-08-07T00:00:00"/>
        <d v="2022-07-01T00:00:00"/>
        <d v="2020-10-18T00:00:00"/>
        <d v="2021-02-13T00:00:00"/>
        <d v="2019-12-22T00:00:00"/>
        <d v="2021-08-07T00:00:00"/>
        <d v="2021-07-26T00:00:00"/>
        <d v="2022-05-03T00:00:00"/>
        <d v="2022-03-19T00:00:00"/>
        <d v="2021-06-28T00:00:00"/>
        <d v="2021-12-26T00:00:00"/>
        <d v="2020-01-30T00:00:00"/>
        <d v="2021-06-12T00:00:00"/>
        <d v="2022-09-14T00:00:00"/>
        <d v="2021-01-03T00:00:00"/>
        <d v="2023-04-27T00:00:00"/>
        <d v="2020-02-02T00:00:00"/>
        <d v="2019-01-12T00:00:00"/>
        <d v="2019-02-05T00:00:00"/>
        <d v="2023-06-27T00:00:00"/>
        <d v="2019-06-08T00:00:00"/>
        <d v="2020-06-05T00:00:00"/>
        <d v="2019-04-22T00:00:00"/>
        <d v="2023-09-05T00:00:00"/>
        <d v="2023-05-10T00:00:00"/>
        <d v="2023-03-05T00:00:00"/>
        <d v="2020-10-14T00:00:00"/>
        <d v="2019-03-28T00:00:00"/>
        <d v="2019-08-09T00:00:00"/>
        <d v="2021-02-23T00:00:00"/>
        <d v="2020-07-02T00:00:00"/>
        <d v="2023-05-14T00:00:00"/>
        <d v="2022-02-28T00:00:00"/>
        <d v="2021-08-26T00:00:00"/>
        <d v="2022-01-26T00:00:00"/>
        <d v="2021-09-10T00:00:00"/>
        <d v="2023-02-16T00:00:00"/>
        <d v="2019-03-06T00:00:00"/>
        <d v="2019-07-15T00:00:00"/>
        <d v="2019-04-18T00:00:00"/>
        <d v="2020-10-26T00:00:00"/>
        <d v="2019-03-11T00:00:00"/>
        <d v="2023-02-25T00:00:00"/>
        <d v="2022-01-31T00:00:00"/>
        <d v="2023-02-28T00:00:00"/>
        <d v="2023-12-04T00:00:00"/>
        <d v="2019-09-13T00:00:00"/>
        <d v="2023-08-09T00:00:00"/>
        <d v="2019-09-14T00:00:00"/>
        <d v="2020-06-07T00:00:00"/>
        <d v="2020-04-13T00:00:00"/>
        <d v="2022-01-11T00:00:00"/>
        <d v="2020-06-14T00:00:00"/>
        <d v="2022-01-12T00:00:00"/>
        <d v="2023-11-30T00:00:00"/>
        <d v="2021-04-13T00:00:00"/>
        <d v="2023-03-28T00:00:00"/>
        <d v="2023-03-27T00:00:00"/>
        <d v="2020-06-25T00:00:00"/>
        <d v="2019-08-17T00:00:00"/>
        <d v="2020-08-11T00:00:00"/>
        <d v="2022-01-02T00:00:00"/>
        <d v="2021-01-28T00:00:00"/>
        <d v="2020-03-10T00:00:00"/>
        <d v="2020-11-10T00:00:00"/>
        <d v="2020-08-13T00:00:00"/>
        <d v="2022-08-15T00:00:00"/>
        <d v="2023-10-08T00:00:00"/>
        <d v="2023-09-30T00:00:00"/>
        <d v="2021-07-09T00:00:00"/>
        <d v="2022-02-07T00:00:00"/>
        <d v="2020-04-20T00:00:00"/>
        <d v="2023-06-21T00:00:00"/>
        <d v="2023-05-25T00:00:00"/>
        <d v="2020-02-27T00:00:00"/>
      </sharedItems>
    </cacheField>
    <cacheField name="End Date Clean" numFmtId="14">
      <sharedItems containsSemiMixedTypes="0" containsNonDate="0" containsDate="1" containsString="0" minDate="2019-07-15T00:00:00" maxDate="2027-09-19T00:00:00" count="248">
        <d v="2025-03-04T00:00:00"/>
        <d v="2023-11-15T00:00:00"/>
        <d v="2023-03-12T00:00:00"/>
        <d v="2022-02-06T00:00:00"/>
        <d v="2025-08-20T00:00:00"/>
        <d v="2020-03-08T00:00:00"/>
        <d v="2026-01-02T00:00:00"/>
        <d v="2026-02-08T00:00:00"/>
        <d v="2025-07-06T00:00:00"/>
        <d v="2023-04-10T00:00:00"/>
        <d v="2019-08-07T00:00:00"/>
        <d v="2021-05-26T00:00:00"/>
        <d v="2023-02-07T00:00:00"/>
        <d v="2025-07-12T00:00:00"/>
        <d v="2024-07-14T00:00:00"/>
        <d v="2022-06-25T00:00:00"/>
        <d v="2020-09-12T00:00:00"/>
        <d v="2022-11-09T00:00:00"/>
        <d v="2025-01-23T00:00:00"/>
        <d v="2024-03-26T00:00:00"/>
        <d v="2024-04-27T00:00:00"/>
        <d v="2025-03-25T00:00:00"/>
        <d v="2021-06-23T00:00:00"/>
        <d v="2021-07-15T00:00:00"/>
        <d v="2026-11-26T00:00:00"/>
        <d v="2025-01-01T00:00:00"/>
        <d v="2022-02-10T00:00:00"/>
        <d v="2027-07-07T00:00:00"/>
        <d v="2026-10-28T00:00:00"/>
        <d v="2022-09-25T00:00:00"/>
        <d v="2025-09-06T00:00:00"/>
        <d v="2023-05-07T00:00:00"/>
        <d v="2021-03-21T00:00:00"/>
        <d v="2021-07-26T00:00:00"/>
        <d v="2022-07-07T00:00:00"/>
        <d v="2020-02-07T00:00:00"/>
        <d v="2022-08-03T00:00:00"/>
        <d v="2022-08-08T00:00:00"/>
        <d v="2021-03-01T00:00:00"/>
        <d v="2024-11-10T00:00:00"/>
        <d v="2023-01-02T00:00:00"/>
        <d v="2025-11-15T00:00:00"/>
        <d v="2027-04-15T00:00:00"/>
        <d v="2021-04-17T00:00:00"/>
        <d v="2023-01-04T00:00:00"/>
        <d v="2022-06-10T00:00:00"/>
        <d v="2023-12-28T00:00:00"/>
        <d v="2024-01-12T00:00:00"/>
        <d v="2026-07-24T00:00:00"/>
        <d v="2023-07-11T00:00:00"/>
        <d v="2021-11-11T00:00:00"/>
        <d v="2023-09-12T00:00:00"/>
        <d v="2025-06-17T00:00:00"/>
        <d v="2022-05-13T00:00:00"/>
        <d v="2022-09-23T00:00:00"/>
        <d v="2023-11-30T00:00:00"/>
        <d v="2021-12-09T00:00:00"/>
        <d v="2023-11-24T00:00:00"/>
        <d v="2021-03-10T00:00:00"/>
        <d v="2020-03-16T00:00:00"/>
        <d v="2020-08-18T00:00:00"/>
        <d v="2021-11-10T00:00:00"/>
        <d v="2022-11-13T00:00:00"/>
        <d v="2025-12-22T00:00:00"/>
        <d v="2022-10-06T00:00:00"/>
        <d v="2023-01-28T00:00:00"/>
        <d v="2027-02-14T00:00:00"/>
        <d v="2025-12-17T00:00:00"/>
        <d v="2023-05-28T00:00:00"/>
        <d v="2019-12-31T00:00:00"/>
        <d v="2024-04-13T00:00:00"/>
        <d v="2021-02-23T00:00:00"/>
        <d v="2023-09-14T00:00:00"/>
        <d v="2023-01-07T00:00:00"/>
        <d v="2022-10-24T00:00:00"/>
        <d v="2023-04-03T00:00:00"/>
        <d v="2025-01-19T00:00:00"/>
        <d v="2024-11-16T00:00:00"/>
        <d v="2027-09-18T00:00:00"/>
        <d v="2025-10-06T00:00:00"/>
        <d v="2023-12-15T00:00:00"/>
        <d v="2020-06-27T00:00:00"/>
        <d v="2026-05-07T00:00:00"/>
        <d v="2024-07-17T00:00:00"/>
        <d v="2026-09-18T00:00:00"/>
        <d v="2024-07-02T00:00:00"/>
        <d v="2025-08-14T00:00:00"/>
        <d v="2026-12-25T00:00:00"/>
        <d v="2025-05-24T00:00:00"/>
        <d v="2026-01-25T00:00:00"/>
        <d v="2021-04-24T00:00:00"/>
        <d v="2023-07-17T00:00:00"/>
        <d v="2024-10-23T00:00:00"/>
        <d v="2021-12-19T00:00:00"/>
        <d v="2023-02-23T00:00:00"/>
        <d v="2023-06-18T00:00:00"/>
        <d v="2023-06-26T00:00:00"/>
        <d v="2021-08-07T00:00:00"/>
        <d v="2020-11-28T00:00:00"/>
        <d v="2020-05-05T00:00:00"/>
        <d v="2022-06-27T00:00:00"/>
        <d v="2025-02-25T00:00:00"/>
        <d v="2021-11-29T00:00:00"/>
        <d v="2026-04-23T00:00:00"/>
        <d v="2020-06-29T00:00:00"/>
        <d v="2020-11-29T00:00:00"/>
        <d v="2027-01-25T00:00:00"/>
        <d v="2020-08-17T00:00:00"/>
        <d v="2026-08-14T00:00:00"/>
        <d v="2025-06-25T00:00:00"/>
        <d v="2025-11-01T00:00:00"/>
        <d v="2020-10-30T00:00:00"/>
        <d v="2026-08-05T00:00:00"/>
        <d v="2022-06-03T00:00:00"/>
        <d v="2027-06-29T00:00:00"/>
        <d v="2021-01-21T00:00:00"/>
        <d v="2024-05-15T00:00:00"/>
        <d v="2022-01-02T00:00:00"/>
        <d v="2022-02-25T00:00:00"/>
        <d v="2024-09-24T00:00:00"/>
        <d v="2024-04-22T00:00:00"/>
        <d v="2024-02-19T00:00:00"/>
        <d v="2024-02-24T00:00:00"/>
        <d v="2023-11-29T00:00:00"/>
        <d v="2021-12-30T00:00:00"/>
        <d v="2020-06-07T00:00:00"/>
        <d v="2023-08-11T00:00:00"/>
        <d v="2023-01-13T00:00:00"/>
        <d v="2021-04-29T00:00:00"/>
        <d v="2023-10-15T00:00:00"/>
        <d v="2022-02-26T00:00:00"/>
        <d v="2023-09-26T00:00:00"/>
        <d v="2021-05-08T00:00:00"/>
        <d v="2024-09-20T00:00:00"/>
        <d v="2024-04-18T00:00:00"/>
        <d v="2026-05-06T00:00:00"/>
        <d v="2021-06-13T00:00:00"/>
        <d v="2022-07-24T00:00:00"/>
        <d v="2023-04-24T00:00:00"/>
        <d v="2024-09-21T00:00:00"/>
        <d v="2024-12-12T00:00:00"/>
        <d v="2025-02-12T00:00:00"/>
        <d v="2024-10-15T00:00:00"/>
        <d v="2022-06-19T00:00:00"/>
        <d v="2025-11-10T00:00:00"/>
        <d v="2025-05-15T00:00:00"/>
        <d v="2024-01-31T00:00:00"/>
        <d v="2026-10-31T00:00:00"/>
        <d v="2021-07-04T00:00:00"/>
        <d v="2026-09-09T00:00:00"/>
        <d v="2025-04-03T00:00:00"/>
        <d v="2021-04-27T00:00:00"/>
        <d v="2022-09-17T00:00:00"/>
        <d v="2025-02-10T00:00:00"/>
        <d v="2022-09-18T00:00:00"/>
        <d v="2025-07-10T00:00:00"/>
        <d v="2019-07-15T00:00:00"/>
        <d v="2020-07-27T00:00:00"/>
        <d v="2023-06-14T00:00:00"/>
        <d v="2023-05-24T00:00:00"/>
        <d v="2026-04-29T00:00:00"/>
        <d v="2022-08-07T00:00:00"/>
        <d v="2022-07-02T00:00:00"/>
        <d v="2023-05-14T00:00:00"/>
        <d v="2026-07-19T00:00:00"/>
        <d v="2023-01-27T00:00:00"/>
        <d v="2025-07-21T00:00:00"/>
        <d v="2027-05-11T00:00:00"/>
        <d v="2025-11-26T00:00:00"/>
        <d v="2027-06-10T00:00:00"/>
        <d v="2022-02-04T00:00:00"/>
        <d v="2023-11-06T00:00:00"/>
        <d v="2023-05-12T00:00:00"/>
        <d v="2023-05-19T00:00:00"/>
        <d v="2020-10-10T00:00:00"/>
        <d v="2023-02-25T00:00:00"/>
        <d v="2025-08-17T00:00:00"/>
        <d v="2025-09-11T00:00:00"/>
        <d v="2024-10-27T00:00:00"/>
        <d v="2024-04-06T00:00:00"/>
        <d v="2024-10-04T00:00:00"/>
        <d v="2020-07-28T00:00:00"/>
        <d v="2023-06-01T00:00:00"/>
        <d v="2021-12-17T00:00:00"/>
        <d v="2021-10-28T00:00:00"/>
        <d v="2023-04-09T00:00:00"/>
        <d v="2023-12-14T00:00:00"/>
        <d v="2023-06-13T00:00:00"/>
        <d v="2025-03-26T00:00:00"/>
        <d v="2024-03-23T00:00:00"/>
        <d v="2025-07-25T00:00:00"/>
        <d v="2023-08-07T00:00:00"/>
        <d v="2024-10-30T00:00:00"/>
        <d v="2021-04-07T00:00:00"/>
        <d v="2023-01-14T00:00:00"/>
        <d v="2023-03-27T00:00:00"/>
        <d v="2022-08-15T00:00:00"/>
        <d v="2023-08-10T00:00:00"/>
        <d v="2021-11-12T00:00:00"/>
        <d v="2021-04-02T00:00:00"/>
        <d v="2023-03-20T00:00:00"/>
        <d v="2022-04-15T00:00:00"/>
        <d v="2023-07-12T00:00:00"/>
        <d v="2019-09-18T00:00:00"/>
        <d v="2026-02-13T00:00:00"/>
        <d v="2026-11-18T00:00:00"/>
        <d v="2022-12-03T00:00:00"/>
        <d v="2023-05-06T00:00:00"/>
        <d v="2024-04-10T00:00:00"/>
        <d v="2024-07-18T00:00:00"/>
        <d v="2023-03-16T00:00:00"/>
        <d v="2022-09-03T00:00:00"/>
        <d v="2020-11-15T00:00:00"/>
        <d v="2019-12-22T00:00:00"/>
        <d v="2021-12-22T00:00:00"/>
        <d v="2019-09-12T00:00:00"/>
        <d v="2023-08-15T00:00:00"/>
        <d v="2024-04-23T00:00:00"/>
        <d v="2021-07-27T00:00:00"/>
        <d v="2024-04-05T00:00:00"/>
        <d v="2023-05-29T00:00:00"/>
        <d v="2020-09-15T00:00:00"/>
        <d v="2026-04-21T00:00:00"/>
        <d v="2019-11-14T00:00:00"/>
        <d v="2024-03-06T00:00:00"/>
        <d v="2020-11-30T00:00:00"/>
        <d v="2025-03-07T00:00:00"/>
        <d v="2023-04-30T00:00:00"/>
        <d v="2026-01-12T00:00:00"/>
        <d v="2027-01-19T00:00:00"/>
        <d v="2021-09-02T00:00:00"/>
        <d v="2024-12-10T00:00:00"/>
        <d v="2024-05-21T00:00:00"/>
        <d v="2022-08-01T00:00:00"/>
        <d v="2020-10-15T00:00:00"/>
        <d v="2024-03-24T00:00:00"/>
        <d v="2023-06-27T00:00:00"/>
        <d v="2023-05-11T00:00:00"/>
        <d v="2021-04-09T00:00:00"/>
        <d v="2021-04-30T00:00:00"/>
        <d v="2025-08-21T00:00:00"/>
        <d v="2022-07-21T00:00:00"/>
        <d v="2026-10-18T00:00:00"/>
        <d v="2025-01-27T00:00:00"/>
        <d v="2025-03-09T00:00:00"/>
        <d v="2023-04-12T00:00:00"/>
        <d v="2027-01-29T00:00:00"/>
        <d v="2022-11-19T00:00:00"/>
      </sharedItems>
    </cacheField>
    <cacheField name="Mobile No Clean" numFmtId="0">
      <sharedItems containsSemiMixedTypes="0" containsString="0" containsNumber="1" containsInteger="1" minValue="9102133323" maxValue="9994614771"/>
    </cacheField>
    <cacheField name="Email Clean" numFmtId="0">
      <sharedItems/>
    </cacheField>
    <cacheField name="Salary" numFmtId="166">
      <sharedItems containsSemiMixedTypes="0" containsString="0" containsNumber="1" containsInteger="1" minValue="12779" maxValue="94569" count="300">
        <n v="16661"/>
        <n v="66881"/>
        <n v="86913"/>
        <n v="33885"/>
        <n v="94504"/>
        <n v="49791"/>
        <n v="86686"/>
        <n v="37975"/>
        <n v="18480"/>
        <n v="72669"/>
        <n v="17443"/>
        <n v="57006"/>
        <n v="94507"/>
        <n v="49081"/>
        <n v="69406"/>
        <n v="18834"/>
        <n v="38952"/>
        <n v="35910"/>
        <n v="30231"/>
        <n v="75026"/>
        <n v="56487"/>
        <n v="13552"/>
        <n v="20431"/>
        <n v="89209"/>
        <n v="26420"/>
        <n v="48833"/>
        <n v="17678"/>
        <n v="52795"/>
        <n v="16285"/>
        <n v="16098"/>
        <n v="31220"/>
        <n v="58293"/>
        <n v="33146"/>
        <n v="59375"/>
        <n v="89758"/>
        <n v="26049"/>
        <n v="44609"/>
        <n v="38415"/>
        <n v="53603"/>
        <n v="85170"/>
        <n v="46849"/>
        <n v="42721"/>
        <n v="19172"/>
        <n v="16034"/>
        <n v="16405"/>
        <n v="86501"/>
        <n v="72627"/>
        <n v="22249"/>
        <n v="28257"/>
        <n v="22344"/>
        <n v="89535"/>
        <n v="41332"/>
        <n v="51286"/>
        <n v="88282"/>
        <n v="13846"/>
        <n v="38245"/>
        <n v="64469"/>
        <n v="16362"/>
        <n v="90196"/>
        <n v="92836"/>
        <n v="61481"/>
        <n v="37606"/>
        <n v="54980"/>
        <n v="27548"/>
        <n v="89149"/>
        <n v="38305"/>
        <n v="63103"/>
        <n v="57042"/>
        <n v="38784"/>
        <n v="77477"/>
        <n v="23228"/>
        <n v="35433"/>
        <n v="64573"/>
        <n v="72994"/>
        <n v="19989"/>
        <n v="59260"/>
        <n v="64403"/>
        <n v="72733"/>
        <n v="29983"/>
        <n v="81849"/>
        <n v="47935"/>
        <n v="75178"/>
        <n v="15609"/>
        <n v="71565"/>
        <n v="22625"/>
        <n v="37539"/>
        <n v="45434"/>
        <n v="22336"/>
        <n v="73367"/>
        <n v="84519"/>
        <n v="18820"/>
        <n v="36271"/>
        <n v="20835"/>
        <n v="37432"/>
        <n v="61106"/>
        <n v="62069"/>
        <n v="51835"/>
        <n v="39034"/>
        <n v="58967"/>
        <n v="71057"/>
        <n v="26598"/>
        <n v="93897"/>
        <n v="52104"/>
        <n v="82888"/>
        <n v="55758"/>
        <n v="49646"/>
        <n v="69437"/>
        <n v="86549"/>
        <n v="74598"/>
        <n v="85230"/>
        <n v="71035"/>
        <n v="62508"/>
        <n v="61516"/>
        <n v="70616"/>
        <n v="55848"/>
        <n v="22040"/>
        <n v="43259"/>
        <n v="30289"/>
        <n v="81472"/>
        <n v="75697"/>
        <n v="29219"/>
        <n v="32126"/>
        <n v="94569"/>
        <n v="92437"/>
        <n v="71743"/>
        <n v="26117"/>
        <n v="12779"/>
        <n v="77094"/>
        <n v="19935"/>
        <n v="14716"/>
        <n v="13461"/>
        <n v="79615"/>
        <n v="48540"/>
        <n v="58302"/>
        <n v="64910"/>
        <n v="92917"/>
        <n v="60328"/>
        <n v="61033"/>
        <n v="94071"/>
        <n v="90672"/>
        <n v="50908"/>
        <n v="18027"/>
        <n v="78849"/>
        <n v="79370"/>
        <n v="50107"/>
        <n v="66879"/>
        <n v="90588"/>
        <n v="57312"/>
        <n v="16531"/>
        <n v="55610"/>
        <n v="14215"/>
        <n v="44943"/>
        <n v="92877"/>
        <n v="57384"/>
        <n v="55815"/>
        <n v="32204"/>
        <n v="36157"/>
        <n v="33924"/>
        <n v="20656"/>
        <n v="45014"/>
        <n v="34705"/>
        <n v="15298"/>
        <n v="24099"/>
        <n v="56644"/>
        <n v="58303"/>
        <n v="29967"/>
        <n v="13035"/>
        <n v="77926"/>
        <n v="74500"/>
        <n v="45570"/>
        <n v="41128"/>
        <n v="46858"/>
        <n v="81651"/>
        <n v="67106"/>
        <n v="38618"/>
        <n v="81506"/>
        <n v="35548"/>
        <n v="51387"/>
        <n v="80606"/>
        <n v="57814"/>
        <n v="36818"/>
        <n v="62179"/>
        <n v="12919"/>
        <n v="30827"/>
        <n v="18080"/>
        <n v="31545"/>
        <n v="79311"/>
        <n v="27951"/>
        <n v="61835"/>
        <n v="21671"/>
        <n v="53207"/>
        <n v="28724"/>
        <n v="68866"/>
        <n v="30226"/>
        <n v="76165"/>
        <n v="40570"/>
        <n v="17382"/>
        <n v="19485"/>
        <n v="76640"/>
        <n v="80560"/>
        <n v="20786"/>
        <n v="82599"/>
        <n v="45085"/>
        <n v="84409"/>
        <n v="70855"/>
        <n v="86132"/>
        <n v="64514"/>
        <n v="66047"/>
        <n v="54362"/>
        <n v="67393"/>
        <n v="91862"/>
        <n v="33813"/>
        <n v="77493"/>
        <n v="66939"/>
        <n v="82172"/>
        <n v="79915"/>
        <n v="22806"/>
        <n v="92570"/>
        <n v="55481"/>
        <n v="24288"/>
        <n v="70118"/>
        <n v="79530"/>
        <n v="29607"/>
        <n v="44032"/>
        <n v="87809"/>
        <n v="90697"/>
        <n v="13825"/>
        <n v="69932"/>
        <n v="27922"/>
        <n v="76040"/>
        <n v="60791"/>
        <n v="62103"/>
        <n v="71437"/>
        <n v="35824"/>
        <n v="69067"/>
        <n v="79305"/>
        <n v="46302"/>
        <n v="21764"/>
        <n v="71971"/>
        <n v="19830"/>
        <n v="56827"/>
        <n v="37773"/>
        <n v="84591"/>
        <n v="46770"/>
        <n v="93059"/>
        <n v="85725"/>
        <n v="23158"/>
        <n v="86179"/>
        <n v="38515"/>
        <n v="51506"/>
        <n v="41829"/>
        <n v="17408"/>
        <n v="35319"/>
        <n v="81836"/>
        <n v="19155"/>
        <n v="36887"/>
        <n v="16496"/>
        <n v="29315"/>
        <n v="57459"/>
        <n v="14704"/>
        <n v="65760"/>
        <n v="24502"/>
        <n v="46127"/>
        <n v="65378"/>
        <n v="38396"/>
        <n v="29881"/>
        <n v="78364"/>
        <n v="61424"/>
        <n v="30597"/>
        <n v="87059"/>
        <n v="59526"/>
        <n v="15022"/>
        <n v="91500"/>
        <n v="29517"/>
        <n v="21930"/>
        <n v="18792"/>
        <n v="62051"/>
        <n v="94195"/>
        <n v="75557"/>
        <n v="20900"/>
        <n v="58398"/>
        <n v="56695"/>
        <n v="37029"/>
        <n v="32971"/>
        <n v="46040"/>
        <n v="17250"/>
        <n v="77516"/>
        <n v="89227"/>
        <n v="52206"/>
        <n v="48655"/>
        <n v="83298"/>
        <n v="30053"/>
        <n v="94340"/>
        <n v="86839"/>
        <n v="50237"/>
        <n v="28566"/>
        <n v="40288"/>
        <n v="56309"/>
        <n v="77449"/>
        <n v="58738"/>
      </sharedItems>
    </cacheField>
    <cacheField name="Salary Range" numFmtId="0">
      <sharedItems count="5">
        <s v="Below 20K"/>
        <s v="60K-80K"/>
        <s v="Above 80K"/>
        <s v="20K-40K"/>
        <s v="40K-60K"/>
      </sharedItems>
    </cacheField>
    <cacheField name="Salary Range Count_x000a_      Below 20K" numFmtId="0">
      <sharedItems containsString="0" containsBlank="1" containsNumber="1" containsInteger="1" minValue="38" maxValue="38"/>
    </cacheField>
    <cacheField name="Salary Range Count_x000a_          20K-40k" numFmtId="0">
      <sharedItems containsString="0" containsBlank="1" containsNumber="1" containsInteger="1" minValue="76" maxValue="76"/>
    </cacheField>
    <cacheField name="Salary Range Count_x000a_          40k-60k" numFmtId="0">
      <sharedItems containsString="0" containsBlank="1" containsNumber="1" containsInteger="1" minValue="66" maxValue="66"/>
    </cacheField>
    <cacheField name="Salary Range Count_x000a_         60k-80k" numFmtId="0">
      <sharedItems containsString="0" containsBlank="1" containsNumber="1" containsInteger="1" minValue="69" maxValue="69"/>
    </cacheField>
    <cacheField name="Salary Range Count_x000a_        Above 80k" numFmtId="0">
      <sharedItems containsString="0" containsBlank="1" containsNumber="1" containsInteger="1" minValue="51" maxValue="51"/>
    </cacheField>
    <cacheField name="Manager ID Clean" numFmtId="0">
      <sharedItems count="25">
        <s v="M4"/>
        <s v="M8"/>
        <s v="M3"/>
        <s v="M9"/>
        <s v="M16"/>
        <s v="M2"/>
        <s v="M13"/>
        <s v="M14"/>
        <s v="M12"/>
        <s v="M20"/>
        <s v="M24"/>
        <s v="M10"/>
        <s v="M5"/>
        <s v="M19"/>
        <s v="M15"/>
        <s v="M25"/>
        <s v="M23"/>
        <s v="M6"/>
        <s v="M7"/>
        <s v="M11"/>
        <s v="M21"/>
        <s v="M18"/>
        <s v="M17"/>
        <s v="M22"/>
        <s v="M1"/>
      </sharedItems>
    </cacheField>
    <cacheField name="Status Clean" numFmtId="0">
      <sharedItems count="3">
        <s v="RESIGNED"/>
        <s v="ON HOLD"/>
        <s v="ACTIVE"/>
      </sharedItems>
    </cacheField>
    <cacheField name="Experience Days" numFmtId="0">
      <sharedItems containsSemiMixedTypes="0" containsString="0" containsNumber="1" containsInteger="1" minValue="61" maxValue="2535"/>
    </cacheField>
    <cacheField name="Experience Months" numFmtId="0">
      <sharedItems containsSemiMixedTypes="0" containsString="0" containsNumber="1" containsInteger="1" minValue="2" maxValue="83" count="63">
        <n v="37"/>
        <n v="3"/>
        <n v="16"/>
        <n v="45"/>
        <n v="5"/>
        <n v="59"/>
        <n v="43"/>
        <n v="29"/>
        <n v="19"/>
        <n v="6"/>
        <n v="26"/>
        <n v="66"/>
        <n v="8"/>
        <n v="36"/>
        <n v="33"/>
        <n v="17"/>
        <n v="41"/>
        <n v="22"/>
        <n v="27"/>
        <n v="44"/>
        <n v="55"/>
        <n v="42"/>
        <n v="46"/>
        <n v="35"/>
        <n v="28"/>
        <n v="32"/>
        <n v="20"/>
        <n v="24"/>
        <n v="2"/>
        <n v="67"/>
        <n v="15"/>
        <n v="34"/>
        <n v="25"/>
        <n v="47"/>
        <n v="14"/>
        <n v="30"/>
        <n v="82"/>
        <n v="9"/>
        <n v="76"/>
        <n v="21"/>
        <n v="40"/>
        <n v="68"/>
        <n v="38"/>
        <n v="61"/>
        <n v="60"/>
        <n v="12"/>
        <n v="48"/>
        <n v="39"/>
        <n v="13"/>
        <n v="18"/>
        <n v="69"/>
        <n v="4"/>
        <n v="31"/>
        <n v="72"/>
        <n v="78"/>
        <n v="11"/>
        <n v="81"/>
        <n v="10"/>
        <n v="83"/>
        <n v="23"/>
        <n v="49"/>
        <n v="80"/>
        <n v="7"/>
      </sharedItems>
    </cacheField>
    <cacheField name="Experience Years" numFmtId="0">
      <sharedItems containsSemiMixedTypes="0" containsString="0" containsNumber="1" containsInteger="1" minValue="0" maxValue="6" count="7">
        <n v="3"/>
        <n v="0"/>
        <n v="1"/>
        <n v="4"/>
        <n v="2"/>
        <n v="5"/>
        <n v="6"/>
      </sharedItems>
    </cacheField>
    <cacheField name="Total Resigned" numFmtId="0">
      <sharedItems containsString="0" containsBlank="1" containsNumber="1" containsInteger="1" minValue="120" maxValue="120"/>
    </cacheField>
    <cacheField name="Total Active" numFmtId="0">
      <sharedItems containsString="0" containsBlank="1" containsNumber="1" containsInteger="1" minValue="105" maxValue="105"/>
    </cacheField>
    <cacheField name="Total On Hold" numFmtId="0">
      <sharedItems containsString="0" containsBlank="1" containsNumber="1" containsInteger="1" minValue="75" maxValue="75"/>
    </cacheField>
    <cacheField name="Avg Exp Resi Emp Years" numFmtId="2">
      <sharedItems containsString="0" containsBlank="1" containsNumber="1" minValue="1.9166666666666667" maxValue="1.9166666666666667"/>
    </cacheField>
    <cacheField name="Avg Exp Active Emp Months" numFmtId="0">
      <sharedItems containsString="0" containsBlank="1" containsNumber="1" minValue="29.066666666666666" maxValue="29.066666666666666"/>
    </cacheField>
    <cacheField name="Highest 1st Salary" numFmtId="166">
      <sharedItems containsString="0" containsBlank="1" containsNumber="1" containsInteger="1" minValue="94569" maxValue="94569"/>
    </cacheField>
    <cacheField name="Highest 5th Salary" numFmtId="166">
      <sharedItems containsString="0" containsBlank="1" containsNumber="1" containsInteger="1" minValue="94195" maxValue="94195"/>
    </cacheField>
    <cacheField name="High Salary &amp; Low Exp Audit" numFmtId="0">
      <sharedItems/>
    </cacheField>
  </cacheFields>
  <extLst>
    <ext xmlns:x14="http://schemas.microsoft.com/office/spreadsheetml/2009/9/main" uri="{725AE2AE-9491-48be-B2B4-4EB974FC3084}">
      <x14:pivotCacheDefinition pivotCacheId="1143856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Ravi"/>
    <x v="0"/>
    <x v="0"/>
    <x v="0"/>
    <n v="9878481087"/>
    <s v="amit@company.com"/>
    <x v="0"/>
    <x v="0"/>
    <n v="38"/>
    <n v="76"/>
    <n v="66"/>
    <n v="69"/>
    <n v="51"/>
    <x v="0"/>
    <x v="0"/>
    <n v="1142"/>
    <x v="0"/>
    <x v="0"/>
    <n v="120"/>
    <n v="105"/>
    <n v="75"/>
    <n v="1.9166666666666667"/>
    <n v="29.066666666666666"/>
    <n v="94569"/>
    <n v="94195"/>
    <s v="OK"/>
  </r>
  <r>
    <x v="1"/>
    <s v="Ravi"/>
    <x v="1"/>
    <x v="1"/>
    <x v="1"/>
    <n v="9377218497"/>
    <s v="pooja@company.com"/>
    <x v="1"/>
    <x v="1"/>
    <m/>
    <m/>
    <m/>
    <m/>
    <m/>
    <x v="1"/>
    <x v="0"/>
    <n v="94"/>
    <x v="1"/>
    <x v="1"/>
    <m/>
    <m/>
    <m/>
    <m/>
    <m/>
    <m/>
    <m/>
    <s v="OK"/>
  </r>
  <r>
    <x v="2"/>
    <s v="Ankit"/>
    <x v="2"/>
    <x v="2"/>
    <x v="2"/>
    <n v="9595920356"/>
    <s v="suresh@company.com"/>
    <x v="2"/>
    <x v="2"/>
    <m/>
    <m/>
    <m/>
    <m/>
    <m/>
    <x v="2"/>
    <x v="1"/>
    <n v="107"/>
    <x v="1"/>
    <x v="1"/>
    <m/>
    <m/>
    <m/>
    <m/>
    <m/>
    <m/>
    <m/>
    <s v="CHECK"/>
  </r>
  <r>
    <x v="3"/>
    <s v="Ravi"/>
    <x v="0"/>
    <x v="3"/>
    <x v="3"/>
    <n v="9941224943"/>
    <s v="neha@company.com"/>
    <x v="3"/>
    <x v="3"/>
    <m/>
    <m/>
    <m/>
    <m/>
    <m/>
    <x v="1"/>
    <x v="2"/>
    <n v="510"/>
    <x v="2"/>
    <x v="2"/>
    <m/>
    <m/>
    <m/>
    <m/>
    <m/>
    <m/>
    <m/>
    <s v="OK"/>
  </r>
  <r>
    <x v="4"/>
    <s v="Amit"/>
    <x v="3"/>
    <x v="4"/>
    <x v="4"/>
    <n v="9245370465"/>
    <s v="ravi@company.com"/>
    <x v="4"/>
    <x v="2"/>
    <m/>
    <m/>
    <m/>
    <m/>
    <m/>
    <x v="3"/>
    <x v="0"/>
    <n v="1373"/>
    <x v="3"/>
    <x v="0"/>
    <m/>
    <m/>
    <m/>
    <m/>
    <m/>
    <m/>
    <m/>
    <s v="OK"/>
  </r>
  <r>
    <x v="5"/>
    <s v="Sunita"/>
    <x v="1"/>
    <x v="5"/>
    <x v="5"/>
    <n v="9349938125"/>
    <s v="kiran@company.com"/>
    <x v="5"/>
    <x v="4"/>
    <m/>
    <m/>
    <m/>
    <m/>
    <m/>
    <x v="4"/>
    <x v="0"/>
    <n v="154"/>
    <x v="4"/>
    <x v="1"/>
    <m/>
    <m/>
    <m/>
    <m/>
    <m/>
    <m/>
    <m/>
    <s v="OK"/>
  </r>
  <r>
    <x v="6"/>
    <s v="Ravi"/>
    <x v="1"/>
    <x v="6"/>
    <x v="6"/>
    <n v="9900001110"/>
    <s v="kiran@company.com"/>
    <x v="6"/>
    <x v="2"/>
    <m/>
    <m/>
    <m/>
    <m/>
    <m/>
    <x v="5"/>
    <x v="0"/>
    <n v="1810"/>
    <x v="5"/>
    <x v="3"/>
    <m/>
    <m/>
    <m/>
    <m/>
    <m/>
    <m/>
    <m/>
    <s v="OK"/>
  </r>
  <r>
    <x v="7"/>
    <s v="Sunita"/>
    <x v="2"/>
    <x v="7"/>
    <x v="7"/>
    <n v="9125742616"/>
    <s v="pooja@gmail.com"/>
    <x v="7"/>
    <x v="3"/>
    <m/>
    <m/>
    <m/>
    <m/>
    <m/>
    <x v="6"/>
    <x v="2"/>
    <n v="1335"/>
    <x v="6"/>
    <x v="0"/>
    <m/>
    <m/>
    <m/>
    <m/>
    <m/>
    <m/>
    <m/>
    <s v="OK"/>
  </r>
  <r>
    <x v="8"/>
    <s v="Pooja"/>
    <x v="0"/>
    <x v="8"/>
    <x v="8"/>
    <n v="9188103283"/>
    <s v="neha@company.com"/>
    <x v="8"/>
    <x v="0"/>
    <m/>
    <m/>
    <m/>
    <m/>
    <m/>
    <x v="6"/>
    <x v="0"/>
    <n v="885"/>
    <x v="7"/>
    <x v="4"/>
    <m/>
    <m/>
    <m/>
    <m/>
    <m/>
    <m/>
    <m/>
    <s v="OK"/>
  </r>
  <r>
    <x v="9"/>
    <s v="Ravi"/>
    <x v="0"/>
    <x v="9"/>
    <x v="9"/>
    <n v="9526289266"/>
    <s v="sunita@company.com"/>
    <x v="9"/>
    <x v="1"/>
    <m/>
    <m/>
    <m/>
    <m/>
    <m/>
    <x v="7"/>
    <x v="1"/>
    <n v="602"/>
    <x v="8"/>
    <x v="2"/>
    <m/>
    <m/>
    <m/>
    <m/>
    <m/>
    <m/>
    <m/>
    <s v="OK"/>
  </r>
  <r>
    <x v="10"/>
    <s v="Sunita"/>
    <x v="2"/>
    <x v="10"/>
    <x v="10"/>
    <n v="9302136537"/>
    <s v="neha@company.com"/>
    <x v="10"/>
    <x v="0"/>
    <m/>
    <m/>
    <m/>
    <m/>
    <m/>
    <x v="8"/>
    <x v="0"/>
    <n v="187"/>
    <x v="9"/>
    <x v="1"/>
    <m/>
    <m/>
    <m/>
    <m/>
    <m/>
    <m/>
    <m/>
    <s v="OK"/>
  </r>
  <r>
    <x v="11"/>
    <s v="Pooja"/>
    <x v="2"/>
    <x v="11"/>
    <x v="11"/>
    <n v="9887171748"/>
    <s v="suresh@company.com"/>
    <x v="11"/>
    <x v="4"/>
    <m/>
    <m/>
    <m/>
    <m/>
    <m/>
    <x v="9"/>
    <x v="2"/>
    <n v="810"/>
    <x v="10"/>
    <x v="4"/>
    <m/>
    <m/>
    <m/>
    <m/>
    <m/>
    <m/>
    <m/>
    <s v="OK"/>
  </r>
  <r>
    <x v="12"/>
    <s v="Suresh"/>
    <x v="2"/>
    <x v="12"/>
    <x v="12"/>
    <n v="9561915728"/>
    <s v="ankit@company.com"/>
    <x v="12"/>
    <x v="2"/>
    <m/>
    <m/>
    <m/>
    <m/>
    <m/>
    <x v="10"/>
    <x v="1"/>
    <n v="153"/>
    <x v="4"/>
    <x v="1"/>
    <m/>
    <m/>
    <m/>
    <m/>
    <m/>
    <m/>
    <m/>
    <s v="CHECK"/>
  </r>
  <r>
    <x v="13"/>
    <s v="Pooja"/>
    <x v="3"/>
    <x v="13"/>
    <x v="6"/>
    <n v="9803274000"/>
    <s v="kiran@company.com"/>
    <x v="13"/>
    <x v="4"/>
    <m/>
    <m/>
    <m/>
    <m/>
    <m/>
    <x v="4"/>
    <x v="0"/>
    <n v="2033"/>
    <x v="11"/>
    <x v="5"/>
    <m/>
    <m/>
    <m/>
    <m/>
    <m/>
    <m/>
    <m/>
    <s v="OK"/>
  </r>
  <r>
    <x v="14"/>
    <s v="Suresh"/>
    <x v="0"/>
    <x v="14"/>
    <x v="13"/>
    <n v="9531992521"/>
    <s v="suresh@company.com"/>
    <x v="14"/>
    <x v="1"/>
    <m/>
    <m/>
    <m/>
    <m/>
    <m/>
    <x v="5"/>
    <x v="1"/>
    <n v="885"/>
    <x v="7"/>
    <x v="4"/>
    <m/>
    <m/>
    <m/>
    <m/>
    <m/>
    <m/>
    <m/>
    <s v="OK"/>
  </r>
  <r>
    <x v="15"/>
    <s v="Ankit"/>
    <x v="0"/>
    <x v="15"/>
    <x v="14"/>
    <n v="9705437429"/>
    <s v="suresh@gmail.com"/>
    <x v="15"/>
    <x v="0"/>
    <m/>
    <m/>
    <m/>
    <m/>
    <m/>
    <x v="9"/>
    <x v="1"/>
    <n v="252"/>
    <x v="12"/>
    <x v="1"/>
    <m/>
    <m/>
    <m/>
    <m/>
    <m/>
    <m/>
    <m/>
    <s v="OK"/>
  </r>
  <r>
    <x v="16"/>
    <s v="Neha"/>
    <x v="0"/>
    <x v="16"/>
    <x v="15"/>
    <n v="9970816343"/>
    <s v="suresh@company.com"/>
    <x v="16"/>
    <x v="3"/>
    <m/>
    <m/>
    <m/>
    <m/>
    <m/>
    <x v="2"/>
    <x v="0"/>
    <n v="1124"/>
    <x v="13"/>
    <x v="0"/>
    <m/>
    <m/>
    <m/>
    <m/>
    <m/>
    <m/>
    <m/>
    <s v="OK"/>
  </r>
  <r>
    <x v="17"/>
    <s v="Ankit"/>
    <x v="0"/>
    <x v="17"/>
    <x v="16"/>
    <n v="9131591320"/>
    <s v="neha@company.com"/>
    <x v="17"/>
    <x v="3"/>
    <m/>
    <m/>
    <m/>
    <m/>
    <m/>
    <x v="9"/>
    <x v="0"/>
    <n v="169"/>
    <x v="4"/>
    <x v="1"/>
    <m/>
    <m/>
    <m/>
    <m/>
    <m/>
    <m/>
    <m/>
    <s v="OK"/>
  </r>
  <r>
    <x v="18"/>
    <s v="Vikas"/>
    <x v="2"/>
    <x v="18"/>
    <x v="17"/>
    <n v="9544962090"/>
    <s v="vikas@company.com"/>
    <x v="18"/>
    <x v="3"/>
    <m/>
    <m/>
    <m/>
    <m/>
    <m/>
    <x v="11"/>
    <x v="0"/>
    <n v="1023"/>
    <x v="14"/>
    <x v="4"/>
    <m/>
    <m/>
    <m/>
    <m/>
    <m/>
    <m/>
    <m/>
    <s v="OK"/>
  </r>
  <r>
    <x v="19"/>
    <s v="Vikas"/>
    <x v="0"/>
    <x v="19"/>
    <x v="18"/>
    <n v="9274871734"/>
    <s v="suresh@company.com"/>
    <x v="19"/>
    <x v="1"/>
    <m/>
    <m/>
    <m/>
    <m/>
    <m/>
    <x v="2"/>
    <x v="0"/>
    <n v="519"/>
    <x v="15"/>
    <x v="2"/>
    <m/>
    <m/>
    <m/>
    <m/>
    <m/>
    <m/>
    <m/>
    <s v="OK"/>
  </r>
  <r>
    <x v="20"/>
    <s v="Neha"/>
    <x v="2"/>
    <x v="20"/>
    <x v="6"/>
    <n v="9260910861"/>
    <s v="ravi@company.com"/>
    <x v="20"/>
    <x v="4"/>
    <m/>
    <m/>
    <m/>
    <m/>
    <m/>
    <x v="3"/>
    <x v="1"/>
    <n v="1261"/>
    <x v="16"/>
    <x v="0"/>
    <m/>
    <m/>
    <m/>
    <m/>
    <m/>
    <m/>
    <m/>
    <s v="OK"/>
  </r>
  <r>
    <x v="21"/>
    <s v="Rahul"/>
    <x v="2"/>
    <x v="21"/>
    <x v="19"/>
    <n v="9864320135"/>
    <s v="rahul@company.com"/>
    <x v="21"/>
    <x v="0"/>
    <m/>
    <m/>
    <m/>
    <m/>
    <m/>
    <x v="6"/>
    <x v="0"/>
    <n v="692"/>
    <x v="17"/>
    <x v="2"/>
    <m/>
    <m/>
    <m/>
    <m/>
    <m/>
    <m/>
    <m/>
    <s v="OK"/>
  </r>
  <r>
    <x v="22"/>
    <s v="Vikas"/>
    <x v="0"/>
    <x v="22"/>
    <x v="20"/>
    <n v="9967616524"/>
    <s v="kiran@company.com"/>
    <x v="22"/>
    <x v="3"/>
    <m/>
    <m/>
    <m/>
    <m/>
    <m/>
    <x v="12"/>
    <x v="1"/>
    <n v="491"/>
    <x v="2"/>
    <x v="2"/>
    <m/>
    <m/>
    <m/>
    <m/>
    <m/>
    <m/>
    <m/>
    <s v="OK"/>
  </r>
  <r>
    <x v="23"/>
    <s v="Pooja"/>
    <x v="2"/>
    <x v="23"/>
    <x v="21"/>
    <n v="9540236491"/>
    <s v="neha@gmail.com"/>
    <x v="23"/>
    <x v="2"/>
    <m/>
    <m/>
    <m/>
    <m/>
    <m/>
    <x v="13"/>
    <x v="2"/>
    <n v="1394"/>
    <x v="3"/>
    <x v="0"/>
    <m/>
    <m/>
    <m/>
    <m/>
    <m/>
    <m/>
    <m/>
    <s v="OK"/>
  </r>
  <r>
    <x v="24"/>
    <s v="Sunita"/>
    <x v="3"/>
    <x v="24"/>
    <x v="22"/>
    <n v="9335638101"/>
    <s v="neha@company.com"/>
    <x v="24"/>
    <x v="3"/>
    <m/>
    <m/>
    <m/>
    <m/>
    <m/>
    <x v="9"/>
    <x v="0"/>
    <n v="589"/>
    <x v="8"/>
    <x v="2"/>
    <m/>
    <m/>
    <m/>
    <m/>
    <m/>
    <m/>
    <m/>
    <s v="OK"/>
  </r>
  <r>
    <x v="25"/>
    <s v="Sunita"/>
    <x v="3"/>
    <x v="25"/>
    <x v="23"/>
    <n v="9567209295"/>
    <s v="rahul@company.com"/>
    <x v="25"/>
    <x v="4"/>
    <m/>
    <m/>
    <m/>
    <m/>
    <m/>
    <x v="14"/>
    <x v="2"/>
    <n v="830"/>
    <x v="18"/>
    <x v="4"/>
    <m/>
    <m/>
    <m/>
    <m/>
    <m/>
    <m/>
    <m/>
    <s v="OK"/>
  </r>
  <r>
    <x v="26"/>
    <s v="Amit"/>
    <x v="1"/>
    <x v="26"/>
    <x v="24"/>
    <n v="9430931644"/>
    <s v="suresh@company.com"/>
    <x v="26"/>
    <x v="0"/>
    <m/>
    <m/>
    <m/>
    <m/>
    <m/>
    <x v="15"/>
    <x v="1"/>
    <n v="1341"/>
    <x v="19"/>
    <x v="0"/>
    <m/>
    <m/>
    <m/>
    <m/>
    <m/>
    <m/>
    <m/>
    <s v="OK"/>
  </r>
  <r>
    <x v="27"/>
    <s v="Vikas"/>
    <x v="3"/>
    <x v="27"/>
    <x v="6"/>
    <n v="9695781322"/>
    <s v="ankit@company.com"/>
    <x v="27"/>
    <x v="4"/>
    <m/>
    <m/>
    <m/>
    <m/>
    <m/>
    <x v="16"/>
    <x v="2"/>
    <n v="1694"/>
    <x v="20"/>
    <x v="3"/>
    <m/>
    <m/>
    <m/>
    <m/>
    <m/>
    <m/>
    <m/>
    <s v="OK"/>
  </r>
  <r>
    <x v="28"/>
    <s v="Vikas"/>
    <x v="1"/>
    <x v="28"/>
    <x v="25"/>
    <n v="9119025269"/>
    <s v="suresh@company.com"/>
    <x v="28"/>
    <x v="0"/>
    <m/>
    <m/>
    <m/>
    <m/>
    <m/>
    <x v="13"/>
    <x v="1"/>
    <n v="1306"/>
    <x v="21"/>
    <x v="0"/>
    <m/>
    <m/>
    <m/>
    <m/>
    <m/>
    <m/>
    <m/>
    <s v="OK"/>
  </r>
  <r>
    <x v="29"/>
    <s v="Rahul"/>
    <x v="1"/>
    <x v="29"/>
    <x v="26"/>
    <n v="9903352588"/>
    <s v="kiran@company.com"/>
    <x v="29"/>
    <x v="0"/>
    <m/>
    <m/>
    <m/>
    <m/>
    <m/>
    <x v="7"/>
    <x v="2"/>
    <n v="1111"/>
    <x v="13"/>
    <x v="0"/>
    <m/>
    <m/>
    <m/>
    <m/>
    <m/>
    <m/>
    <m/>
    <s v="OK"/>
  </r>
  <r>
    <x v="30"/>
    <s v="Suresh"/>
    <x v="3"/>
    <x v="30"/>
    <x v="27"/>
    <n v="9728495167"/>
    <s v="vikas@company.com"/>
    <x v="30"/>
    <x v="3"/>
    <m/>
    <m/>
    <m/>
    <m/>
    <m/>
    <x v="7"/>
    <x v="0"/>
    <n v="1400"/>
    <x v="22"/>
    <x v="0"/>
    <m/>
    <m/>
    <m/>
    <m/>
    <m/>
    <m/>
    <m/>
    <s v="OK"/>
  </r>
  <r>
    <x v="31"/>
    <s v="Vikas"/>
    <x v="3"/>
    <x v="31"/>
    <x v="28"/>
    <n v="9693492287"/>
    <s v="suresh@gmail.com"/>
    <x v="31"/>
    <x v="4"/>
    <m/>
    <m/>
    <m/>
    <m/>
    <m/>
    <x v="17"/>
    <x v="2"/>
    <n v="1091"/>
    <x v="23"/>
    <x v="4"/>
    <m/>
    <m/>
    <m/>
    <m/>
    <m/>
    <m/>
    <m/>
    <s v="OK"/>
  </r>
  <r>
    <x v="32"/>
    <s v="Neha"/>
    <x v="0"/>
    <x v="32"/>
    <x v="29"/>
    <n v="9314756300"/>
    <s v="sunita@company.com"/>
    <x v="32"/>
    <x v="3"/>
    <m/>
    <m/>
    <m/>
    <m/>
    <m/>
    <x v="16"/>
    <x v="2"/>
    <n v="674"/>
    <x v="17"/>
    <x v="2"/>
    <m/>
    <m/>
    <m/>
    <m/>
    <m/>
    <m/>
    <m/>
    <s v="OK"/>
  </r>
  <r>
    <x v="33"/>
    <s v="Kiran"/>
    <x v="0"/>
    <x v="33"/>
    <x v="30"/>
    <n v="9590240821"/>
    <s v="amit@company.com"/>
    <x v="33"/>
    <x v="4"/>
    <m/>
    <m/>
    <m/>
    <m/>
    <m/>
    <x v="8"/>
    <x v="2"/>
    <n v="867"/>
    <x v="24"/>
    <x v="4"/>
    <m/>
    <m/>
    <m/>
    <m/>
    <m/>
    <m/>
    <m/>
    <s v="OK"/>
  </r>
  <r>
    <x v="34"/>
    <s v="Pooja"/>
    <x v="3"/>
    <x v="34"/>
    <x v="6"/>
    <n v="9113594175"/>
    <s v="rahul@company.com"/>
    <x v="34"/>
    <x v="2"/>
    <m/>
    <m/>
    <m/>
    <m/>
    <m/>
    <x v="18"/>
    <x v="1"/>
    <n v="1005"/>
    <x v="25"/>
    <x v="4"/>
    <m/>
    <m/>
    <m/>
    <m/>
    <m/>
    <m/>
    <m/>
    <s v="OK"/>
  </r>
  <r>
    <x v="35"/>
    <s v="Rahul"/>
    <x v="1"/>
    <x v="35"/>
    <x v="31"/>
    <n v="9272201115"/>
    <s v="ravi@company.com"/>
    <x v="35"/>
    <x v="3"/>
    <m/>
    <m/>
    <m/>
    <m/>
    <m/>
    <x v="4"/>
    <x v="0"/>
    <n v="879"/>
    <x v="24"/>
    <x v="4"/>
    <m/>
    <m/>
    <m/>
    <m/>
    <m/>
    <m/>
    <m/>
    <s v="OK"/>
  </r>
  <r>
    <x v="36"/>
    <s v="Ankit"/>
    <x v="2"/>
    <x v="36"/>
    <x v="32"/>
    <n v="9390036297"/>
    <s v="amit@company.com"/>
    <x v="36"/>
    <x v="4"/>
    <m/>
    <m/>
    <m/>
    <m/>
    <m/>
    <x v="5"/>
    <x v="1"/>
    <n v="624"/>
    <x v="26"/>
    <x v="2"/>
    <m/>
    <m/>
    <m/>
    <m/>
    <m/>
    <m/>
    <m/>
    <s v="OK"/>
  </r>
  <r>
    <x v="37"/>
    <s v="Kiran"/>
    <x v="2"/>
    <x v="37"/>
    <x v="33"/>
    <n v="9608496639"/>
    <s v="vikas@company.com"/>
    <x v="37"/>
    <x v="3"/>
    <m/>
    <m/>
    <m/>
    <m/>
    <m/>
    <x v="16"/>
    <x v="2"/>
    <n v="169"/>
    <x v="4"/>
    <x v="1"/>
    <m/>
    <m/>
    <m/>
    <m/>
    <m/>
    <m/>
    <m/>
    <s v="OK"/>
  </r>
  <r>
    <x v="38"/>
    <s v="Ankit"/>
    <x v="2"/>
    <x v="38"/>
    <x v="34"/>
    <n v="9944362729"/>
    <s v="rahul@company.com"/>
    <x v="38"/>
    <x v="4"/>
    <m/>
    <m/>
    <m/>
    <m/>
    <m/>
    <x v="8"/>
    <x v="1"/>
    <n v="752"/>
    <x v="27"/>
    <x v="4"/>
    <m/>
    <m/>
    <m/>
    <m/>
    <m/>
    <m/>
    <m/>
    <s v="OK"/>
  </r>
  <r>
    <x v="39"/>
    <s v="Sunita"/>
    <x v="1"/>
    <x v="39"/>
    <x v="35"/>
    <n v="9366502902"/>
    <s v="suresh@gmail.com"/>
    <x v="39"/>
    <x v="2"/>
    <m/>
    <m/>
    <m/>
    <m/>
    <m/>
    <x v="14"/>
    <x v="1"/>
    <n v="273"/>
    <x v="12"/>
    <x v="1"/>
    <m/>
    <m/>
    <m/>
    <m/>
    <m/>
    <m/>
    <m/>
    <s v="CHECK"/>
  </r>
  <r>
    <x v="40"/>
    <s v="Neha"/>
    <x v="0"/>
    <x v="40"/>
    <x v="36"/>
    <n v="9518335042"/>
    <s v="vikas@company.com"/>
    <x v="40"/>
    <x v="4"/>
    <m/>
    <m/>
    <m/>
    <m/>
    <m/>
    <x v="19"/>
    <x v="0"/>
    <n v="82"/>
    <x v="28"/>
    <x v="1"/>
    <m/>
    <m/>
    <m/>
    <m/>
    <m/>
    <m/>
    <m/>
    <s v="OK"/>
  </r>
  <r>
    <x v="41"/>
    <s v="Neha"/>
    <x v="0"/>
    <x v="41"/>
    <x v="6"/>
    <n v="9338458698"/>
    <s v="amit@company.com"/>
    <x v="41"/>
    <x v="4"/>
    <m/>
    <m/>
    <m/>
    <m/>
    <m/>
    <x v="4"/>
    <x v="1"/>
    <n v="2060"/>
    <x v="29"/>
    <x v="5"/>
    <m/>
    <m/>
    <m/>
    <m/>
    <m/>
    <m/>
    <m/>
    <s v="OK"/>
  </r>
  <r>
    <x v="42"/>
    <s v="Kiran"/>
    <x v="3"/>
    <x v="42"/>
    <x v="37"/>
    <n v="9481702276"/>
    <s v="amit@company.com"/>
    <x v="42"/>
    <x v="0"/>
    <m/>
    <m/>
    <m/>
    <m/>
    <m/>
    <x v="4"/>
    <x v="0"/>
    <n v="818"/>
    <x v="10"/>
    <x v="4"/>
    <m/>
    <m/>
    <m/>
    <m/>
    <m/>
    <m/>
    <m/>
    <s v="OK"/>
  </r>
  <r>
    <x v="43"/>
    <s v="Neha"/>
    <x v="1"/>
    <x v="43"/>
    <x v="38"/>
    <n v="9491193009"/>
    <s v="pooja@company.com"/>
    <x v="43"/>
    <x v="0"/>
    <m/>
    <m/>
    <m/>
    <m/>
    <m/>
    <x v="3"/>
    <x v="0"/>
    <n v="747"/>
    <x v="27"/>
    <x v="4"/>
    <m/>
    <m/>
    <m/>
    <m/>
    <m/>
    <m/>
    <m/>
    <s v="OK"/>
  </r>
  <r>
    <x v="44"/>
    <s v="Ravi"/>
    <x v="0"/>
    <x v="44"/>
    <x v="39"/>
    <n v="9360125412"/>
    <s v="ankit@company.com"/>
    <x v="44"/>
    <x v="0"/>
    <m/>
    <m/>
    <m/>
    <m/>
    <m/>
    <x v="20"/>
    <x v="0"/>
    <n v="608"/>
    <x v="8"/>
    <x v="2"/>
    <m/>
    <m/>
    <m/>
    <m/>
    <m/>
    <m/>
    <m/>
    <s v="OK"/>
  </r>
  <r>
    <x v="45"/>
    <s v="Kiran"/>
    <x v="2"/>
    <x v="45"/>
    <x v="40"/>
    <n v="9920106801"/>
    <s v="kiran@company.com"/>
    <x v="45"/>
    <x v="2"/>
    <m/>
    <m/>
    <m/>
    <m/>
    <m/>
    <x v="16"/>
    <x v="0"/>
    <n v="466"/>
    <x v="30"/>
    <x v="2"/>
    <m/>
    <m/>
    <m/>
    <m/>
    <m/>
    <m/>
    <m/>
    <s v="CHECK"/>
  </r>
  <r>
    <x v="46"/>
    <s v="Suresh"/>
    <x v="3"/>
    <x v="46"/>
    <x v="41"/>
    <n v="9333110185"/>
    <s v="neha@company.com"/>
    <x v="46"/>
    <x v="1"/>
    <m/>
    <m/>
    <m/>
    <m/>
    <m/>
    <x v="20"/>
    <x v="0"/>
    <n v="1145"/>
    <x v="0"/>
    <x v="0"/>
    <m/>
    <m/>
    <m/>
    <m/>
    <m/>
    <m/>
    <m/>
    <s v="OK"/>
  </r>
  <r>
    <x v="47"/>
    <s v="Vikas"/>
    <x v="1"/>
    <x v="47"/>
    <x v="42"/>
    <n v="9592016666"/>
    <s v="sunita@gmail.com"/>
    <x v="47"/>
    <x v="3"/>
    <m/>
    <m/>
    <m/>
    <m/>
    <m/>
    <x v="8"/>
    <x v="2"/>
    <n v="1309"/>
    <x v="6"/>
    <x v="0"/>
    <m/>
    <m/>
    <m/>
    <m/>
    <m/>
    <m/>
    <m/>
    <s v="OK"/>
  </r>
  <r>
    <x v="48"/>
    <s v="Vikas"/>
    <x v="2"/>
    <x v="48"/>
    <x v="6"/>
    <n v="9732789985"/>
    <s v="pooja@company.com"/>
    <x v="48"/>
    <x v="3"/>
    <m/>
    <m/>
    <m/>
    <m/>
    <m/>
    <x v="21"/>
    <x v="0"/>
    <n v="2019"/>
    <x v="11"/>
    <x v="5"/>
    <m/>
    <m/>
    <m/>
    <m/>
    <m/>
    <m/>
    <m/>
    <s v="OK"/>
  </r>
  <r>
    <x v="49"/>
    <s v="Vikas"/>
    <x v="1"/>
    <x v="49"/>
    <x v="43"/>
    <n v="9978655464"/>
    <s v="pooja@company.com"/>
    <x v="49"/>
    <x v="3"/>
    <m/>
    <m/>
    <m/>
    <m/>
    <m/>
    <x v="6"/>
    <x v="2"/>
    <n v="837"/>
    <x v="18"/>
    <x v="4"/>
    <m/>
    <m/>
    <m/>
    <m/>
    <m/>
    <m/>
    <m/>
    <s v="OK"/>
  </r>
  <r>
    <x v="50"/>
    <s v="Amit"/>
    <x v="0"/>
    <x v="50"/>
    <x v="44"/>
    <n v="9280073325"/>
    <s v="rahul@company.com"/>
    <x v="50"/>
    <x v="2"/>
    <m/>
    <m/>
    <m/>
    <m/>
    <m/>
    <x v="19"/>
    <x v="0"/>
    <n v="542"/>
    <x v="15"/>
    <x v="2"/>
    <m/>
    <m/>
    <m/>
    <m/>
    <m/>
    <m/>
    <m/>
    <s v="CHECK"/>
  </r>
  <r>
    <x v="51"/>
    <s v="Sunita"/>
    <x v="0"/>
    <x v="51"/>
    <x v="45"/>
    <n v="9574905802"/>
    <s v="rahul@company.com"/>
    <x v="51"/>
    <x v="4"/>
    <m/>
    <m/>
    <m/>
    <m/>
    <m/>
    <x v="20"/>
    <x v="2"/>
    <n v="174"/>
    <x v="4"/>
    <x v="1"/>
    <m/>
    <m/>
    <m/>
    <m/>
    <m/>
    <m/>
    <m/>
    <s v="OK"/>
  </r>
  <r>
    <x v="52"/>
    <s v="Ankit"/>
    <x v="0"/>
    <x v="52"/>
    <x v="46"/>
    <n v="9150264705"/>
    <s v="suresh@company.com"/>
    <x v="52"/>
    <x v="4"/>
    <m/>
    <m/>
    <m/>
    <m/>
    <m/>
    <x v="3"/>
    <x v="2"/>
    <n v="1047"/>
    <x v="31"/>
    <x v="4"/>
    <m/>
    <m/>
    <m/>
    <m/>
    <m/>
    <m/>
    <m/>
    <s v="OK"/>
  </r>
  <r>
    <x v="53"/>
    <s v="Vikas"/>
    <x v="0"/>
    <x v="53"/>
    <x v="47"/>
    <n v="9269938449"/>
    <s v="suresh@company.com"/>
    <x v="53"/>
    <x v="2"/>
    <m/>
    <m/>
    <m/>
    <m/>
    <m/>
    <x v="14"/>
    <x v="1"/>
    <n v="781"/>
    <x v="32"/>
    <x v="4"/>
    <m/>
    <m/>
    <m/>
    <m/>
    <m/>
    <m/>
    <m/>
    <s v="OK"/>
  </r>
  <r>
    <x v="54"/>
    <s v="Ravi"/>
    <x v="3"/>
    <x v="54"/>
    <x v="48"/>
    <n v="9413347053"/>
    <s v="neha@company.com"/>
    <x v="54"/>
    <x v="0"/>
    <m/>
    <m/>
    <m/>
    <m/>
    <m/>
    <x v="12"/>
    <x v="0"/>
    <n v="1449"/>
    <x v="33"/>
    <x v="0"/>
    <m/>
    <m/>
    <m/>
    <m/>
    <m/>
    <m/>
    <m/>
    <s v="OK"/>
  </r>
  <r>
    <x v="55"/>
    <s v="Amit"/>
    <x v="2"/>
    <x v="55"/>
    <x v="6"/>
    <n v="9966022829"/>
    <s v="amit@gmail.com"/>
    <x v="55"/>
    <x v="3"/>
    <m/>
    <m/>
    <m/>
    <m/>
    <m/>
    <x v="15"/>
    <x v="2"/>
    <n v="821"/>
    <x v="10"/>
    <x v="4"/>
    <m/>
    <m/>
    <m/>
    <m/>
    <m/>
    <m/>
    <m/>
    <s v="OK"/>
  </r>
  <r>
    <x v="56"/>
    <s v="Neha"/>
    <x v="1"/>
    <x v="56"/>
    <x v="49"/>
    <n v="9961338719"/>
    <s v="neha@company.com"/>
    <x v="56"/>
    <x v="1"/>
    <m/>
    <m/>
    <m/>
    <m/>
    <m/>
    <x v="17"/>
    <x v="0"/>
    <n v="1455"/>
    <x v="33"/>
    <x v="0"/>
    <m/>
    <m/>
    <m/>
    <m/>
    <m/>
    <m/>
    <m/>
    <s v="OK"/>
  </r>
  <r>
    <x v="57"/>
    <s v="Suresh"/>
    <x v="1"/>
    <x v="57"/>
    <x v="50"/>
    <n v="9781844002"/>
    <s v="kiran@company.com"/>
    <x v="57"/>
    <x v="0"/>
    <m/>
    <m/>
    <m/>
    <m/>
    <m/>
    <x v="22"/>
    <x v="1"/>
    <n v="439"/>
    <x v="34"/>
    <x v="2"/>
    <m/>
    <m/>
    <m/>
    <m/>
    <m/>
    <m/>
    <m/>
    <s v="OK"/>
  </r>
  <r>
    <x v="58"/>
    <s v="Sunita"/>
    <x v="2"/>
    <x v="58"/>
    <x v="51"/>
    <n v="9362739145"/>
    <s v="ankit@company.com"/>
    <x v="58"/>
    <x v="2"/>
    <m/>
    <m/>
    <m/>
    <m/>
    <m/>
    <x v="6"/>
    <x v="0"/>
    <n v="998"/>
    <x v="25"/>
    <x v="4"/>
    <m/>
    <m/>
    <m/>
    <m/>
    <m/>
    <m/>
    <m/>
    <s v="OK"/>
  </r>
  <r>
    <x v="59"/>
    <s v="Suresh"/>
    <x v="3"/>
    <x v="2"/>
    <x v="52"/>
    <n v="9950092410"/>
    <s v="vikas@company.com"/>
    <x v="59"/>
    <x v="2"/>
    <m/>
    <m/>
    <m/>
    <m/>
    <m/>
    <x v="11"/>
    <x v="2"/>
    <n v="935"/>
    <x v="35"/>
    <x v="4"/>
    <m/>
    <m/>
    <m/>
    <m/>
    <m/>
    <m/>
    <m/>
    <s v="OK"/>
  </r>
  <r>
    <x v="60"/>
    <s v="Amit"/>
    <x v="0"/>
    <x v="59"/>
    <x v="53"/>
    <n v="9320375248"/>
    <s v="kiran@company.com"/>
    <x v="60"/>
    <x v="1"/>
    <m/>
    <m/>
    <m/>
    <m/>
    <m/>
    <x v="11"/>
    <x v="1"/>
    <n v="848"/>
    <x v="18"/>
    <x v="4"/>
    <m/>
    <m/>
    <m/>
    <m/>
    <m/>
    <m/>
    <m/>
    <s v="OK"/>
  </r>
  <r>
    <x v="61"/>
    <s v="Suresh"/>
    <x v="0"/>
    <x v="60"/>
    <x v="54"/>
    <n v="9968883700"/>
    <s v="vikas@company.com"/>
    <x v="61"/>
    <x v="3"/>
    <m/>
    <m/>
    <m/>
    <m/>
    <m/>
    <x v="22"/>
    <x v="2"/>
    <n v="742"/>
    <x v="27"/>
    <x v="4"/>
    <m/>
    <m/>
    <m/>
    <m/>
    <m/>
    <m/>
    <m/>
    <s v="OK"/>
  </r>
  <r>
    <x v="62"/>
    <s v="Ankit"/>
    <x v="1"/>
    <x v="61"/>
    <x v="6"/>
    <n v="9767684374"/>
    <s v="rahul@company.com"/>
    <x v="62"/>
    <x v="4"/>
    <m/>
    <m/>
    <m/>
    <m/>
    <m/>
    <x v="22"/>
    <x v="2"/>
    <n v="2522"/>
    <x v="36"/>
    <x v="6"/>
    <m/>
    <m/>
    <m/>
    <m/>
    <m/>
    <m/>
    <m/>
    <s v="OK"/>
  </r>
  <r>
    <x v="63"/>
    <s v="Suresh"/>
    <x v="2"/>
    <x v="62"/>
    <x v="55"/>
    <n v="9511322748"/>
    <s v="ankit@gmail.com"/>
    <x v="63"/>
    <x v="3"/>
    <m/>
    <m/>
    <m/>
    <m/>
    <m/>
    <x v="12"/>
    <x v="2"/>
    <n v="1267"/>
    <x v="16"/>
    <x v="0"/>
    <m/>
    <m/>
    <m/>
    <m/>
    <m/>
    <m/>
    <m/>
    <s v="OK"/>
  </r>
  <r>
    <x v="64"/>
    <s v="Neha"/>
    <x v="3"/>
    <x v="63"/>
    <x v="56"/>
    <n v="9638972924"/>
    <s v="kiran@company.com"/>
    <x v="64"/>
    <x v="2"/>
    <m/>
    <m/>
    <m/>
    <m/>
    <m/>
    <x v="13"/>
    <x v="0"/>
    <n v="275"/>
    <x v="37"/>
    <x v="1"/>
    <m/>
    <m/>
    <m/>
    <m/>
    <m/>
    <m/>
    <m/>
    <s v="CHECK"/>
  </r>
  <r>
    <x v="65"/>
    <s v="Ankit"/>
    <x v="3"/>
    <x v="64"/>
    <x v="57"/>
    <n v="9922755147"/>
    <s v="ankit@company.com"/>
    <x v="65"/>
    <x v="3"/>
    <m/>
    <m/>
    <m/>
    <m/>
    <m/>
    <x v="10"/>
    <x v="0"/>
    <n v="260"/>
    <x v="12"/>
    <x v="1"/>
    <m/>
    <m/>
    <m/>
    <m/>
    <m/>
    <m/>
    <m/>
    <s v="OK"/>
  </r>
  <r>
    <x v="66"/>
    <s v="Rahul"/>
    <x v="1"/>
    <x v="65"/>
    <x v="58"/>
    <n v="9966436606"/>
    <s v="vikas@company.com"/>
    <x v="66"/>
    <x v="1"/>
    <m/>
    <m/>
    <m/>
    <m/>
    <m/>
    <x v="3"/>
    <x v="2"/>
    <n v="436"/>
    <x v="34"/>
    <x v="2"/>
    <m/>
    <m/>
    <m/>
    <m/>
    <m/>
    <m/>
    <m/>
    <s v="OK"/>
  </r>
  <r>
    <x v="67"/>
    <s v="Kiran"/>
    <x v="3"/>
    <x v="66"/>
    <x v="59"/>
    <n v="9366768887"/>
    <s v="rahul@company.com"/>
    <x v="67"/>
    <x v="4"/>
    <m/>
    <m/>
    <m/>
    <m/>
    <m/>
    <x v="11"/>
    <x v="0"/>
    <n v="292"/>
    <x v="37"/>
    <x v="1"/>
    <m/>
    <m/>
    <m/>
    <m/>
    <m/>
    <m/>
    <m/>
    <s v="OK"/>
  </r>
  <r>
    <x v="68"/>
    <s v="Rahul"/>
    <x v="0"/>
    <x v="67"/>
    <x v="60"/>
    <n v="9368193561"/>
    <s v="amit@company.com"/>
    <x v="68"/>
    <x v="3"/>
    <m/>
    <m/>
    <m/>
    <m/>
    <m/>
    <x v="12"/>
    <x v="2"/>
    <n v="283"/>
    <x v="37"/>
    <x v="1"/>
    <m/>
    <m/>
    <m/>
    <m/>
    <m/>
    <m/>
    <m/>
    <s v="OK"/>
  </r>
  <r>
    <x v="69"/>
    <s v="Vikas"/>
    <x v="2"/>
    <x v="68"/>
    <x v="6"/>
    <n v="9408037253"/>
    <s v="vikas@company.com"/>
    <x v="69"/>
    <x v="1"/>
    <m/>
    <m/>
    <m/>
    <m/>
    <m/>
    <x v="2"/>
    <x v="1"/>
    <n v="2336"/>
    <x v="38"/>
    <x v="6"/>
    <m/>
    <m/>
    <m/>
    <m/>
    <m/>
    <m/>
    <m/>
    <s v="OK"/>
  </r>
  <r>
    <x v="70"/>
    <s v="Rahul"/>
    <x v="0"/>
    <x v="69"/>
    <x v="61"/>
    <n v="9484698271"/>
    <s v="amit@company.com"/>
    <x v="70"/>
    <x v="3"/>
    <m/>
    <m/>
    <m/>
    <m/>
    <m/>
    <x v="14"/>
    <x v="1"/>
    <n v="535"/>
    <x v="15"/>
    <x v="2"/>
    <m/>
    <m/>
    <m/>
    <m/>
    <m/>
    <m/>
    <m/>
    <s v="OK"/>
  </r>
  <r>
    <x v="71"/>
    <s v="Neha"/>
    <x v="1"/>
    <x v="70"/>
    <x v="62"/>
    <n v="9754833914"/>
    <s v="ravi@gmail.com"/>
    <x v="71"/>
    <x v="3"/>
    <m/>
    <m/>
    <m/>
    <m/>
    <m/>
    <x v="3"/>
    <x v="1"/>
    <n v="643"/>
    <x v="39"/>
    <x v="2"/>
    <m/>
    <m/>
    <m/>
    <m/>
    <m/>
    <m/>
    <m/>
    <s v="OK"/>
  </r>
  <r>
    <x v="72"/>
    <s v="Rahul"/>
    <x v="1"/>
    <x v="71"/>
    <x v="63"/>
    <n v="9293334445"/>
    <s v="pooja@company.com"/>
    <x v="72"/>
    <x v="1"/>
    <m/>
    <m/>
    <m/>
    <m/>
    <m/>
    <x v="18"/>
    <x v="1"/>
    <n v="1289"/>
    <x v="21"/>
    <x v="0"/>
    <m/>
    <m/>
    <m/>
    <m/>
    <m/>
    <m/>
    <m/>
    <s v="OK"/>
  </r>
  <r>
    <x v="73"/>
    <s v="Suresh"/>
    <x v="1"/>
    <x v="72"/>
    <x v="64"/>
    <n v="9862042848"/>
    <s v="neha@company.com"/>
    <x v="73"/>
    <x v="1"/>
    <m/>
    <m/>
    <m/>
    <m/>
    <m/>
    <x v="16"/>
    <x v="1"/>
    <n v="204"/>
    <x v="9"/>
    <x v="1"/>
    <m/>
    <m/>
    <m/>
    <m/>
    <m/>
    <m/>
    <m/>
    <s v="OK"/>
  </r>
  <r>
    <x v="74"/>
    <s v="Amit"/>
    <x v="1"/>
    <x v="73"/>
    <x v="65"/>
    <n v="9454509940"/>
    <s v="pooja@company.com"/>
    <x v="74"/>
    <x v="0"/>
    <m/>
    <m/>
    <m/>
    <m/>
    <m/>
    <x v="0"/>
    <x v="1"/>
    <n v="1245"/>
    <x v="40"/>
    <x v="0"/>
    <m/>
    <m/>
    <m/>
    <m/>
    <m/>
    <m/>
    <m/>
    <s v="OK"/>
  </r>
  <r>
    <x v="75"/>
    <s v="Rahul"/>
    <x v="1"/>
    <x v="74"/>
    <x v="66"/>
    <n v="9766738410"/>
    <s v="vikas@company.com"/>
    <x v="75"/>
    <x v="4"/>
    <m/>
    <m/>
    <m/>
    <m/>
    <m/>
    <x v="7"/>
    <x v="1"/>
    <n v="1367"/>
    <x v="19"/>
    <x v="0"/>
    <m/>
    <m/>
    <m/>
    <m/>
    <m/>
    <m/>
    <m/>
    <s v="OK"/>
  </r>
  <r>
    <x v="76"/>
    <s v="Sunita"/>
    <x v="1"/>
    <x v="75"/>
    <x v="6"/>
    <n v="9561559536"/>
    <s v="suresh@company.com"/>
    <x v="76"/>
    <x v="1"/>
    <m/>
    <m/>
    <m/>
    <m/>
    <m/>
    <x v="6"/>
    <x v="0"/>
    <n v="2072"/>
    <x v="41"/>
    <x v="5"/>
    <m/>
    <m/>
    <m/>
    <m/>
    <m/>
    <m/>
    <m/>
    <s v="OK"/>
  </r>
  <r>
    <x v="77"/>
    <s v="Pooja"/>
    <x v="3"/>
    <x v="76"/>
    <x v="67"/>
    <n v="9806937171"/>
    <s v="kiran@company.com"/>
    <x v="77"/>
    <x v="1"/>
    <m/>
    <m/>
    <m/>
    <m/>
    <m/>
    <x v="8"/>
    <x v="0"/>
    <n v="1172"/>
    <x v="42"/>
    <x v="0"/>
    <m/>
    <m/>
    <m/>
    <m/>
    <m/>
    <m/>
    <m/>
    <s v="OK"/>
  </r>
  <r>
    <x v="78"/>
    <s v="Vikas"/>
    <x v="3"/>
    <x v="77"/>
    <x v="68"/>
    <n v="9270457353"/>
    <s v="sunita@company.com"/>
    <x v="78"/>
    <x v="3"/>
    <m/>
    <m/>
    <m/>
    <m/>
    <m/>
    <x v="22"/>
    <x v="0"/>
    <n v="1156"/>
    <x v="42"/>
    <x v="0"/>
    <m/>
    <m/>
    <m/>
    <m/>
    <m/>
    <m/>
    <m/>
    <s v="OK"/>
  </r>
  <r>
    <x v="79"/>
    <s v="Vikas"/>
    <x v="0"/>
    <x v="78"/>
    <x v="69"/>
    <n v="9789838250"/>
    <s v="suresh@gmail.com"/>
    <x v="79"/>
    <x v="2"/>
    <m/>
    <m/>
    <m/>
    <m/>
    <m/>
    <x v="17"/>
    <x v="2"/>
    <n v="256"/>
    <x v="12"/>
    <x v="1"/>
    <m/>
    <m/>
    <m/>
    <m/>
    <m/>
    <m/>
    <m/>
    <s v="CHECK"/>
  </r>
  <r>
    <x v="80"/>
    <s v="Neha"/>
    <x v="3"/>
    <x v="79"/>
    <x v="70"/>
    <n v="9397764802"/>
    <s v="vikas@company.com"/>
    <x v="80"/>
    <x v="4"/>
    <m/>
    <m/>
    <m/>
    <m/>
    <m/>
    <x v="9"/>
    <x v="0"/>
    <n v="1293"/>
    <x v="21"/>
    <x v="0"/>
    <m/>
    <m/>
    <m/>
    <m/>
    <m/>
    <m/>
    <m/>
    <s v="OK"/>
  </r>
  <r>
    <x v="81"/>
    <s v="Kiran"/>
    <x v="1"/>
    <x v="80"/>
    <x v="71"/>
    <n v="9751647835"/>
    <s v="pooja@company.com"/>
    <x v="81"/>
    <x v="1"/>
    <m/>
    <m/>
    <m/>
    <m/>
    <m/>
    <x v="17"/>
    <x v="0"/>
    <n v="83"/>
    <x v="28"/>
    <x v="1"/>
    <m/>
    <m/>
    <m/>
    <m/>
    <m/>
    <m/>
    <m/>
    <s v="OK"/>
  </r>
  <r>
    <x v="82"/>
    <s v="Pooja"/>
    <x v="3"/>
    <x v="81"/>
    <x v="72"/>
    <n v="9147068857"/>
    <s v="neha@company.com"/>
    <x v="82"/>
    <x v="0"/>
    <m/>
    <m/>
    <m/>
    <m/>
    <m/>
    <x v="19"/>
    <x v="0"/>
    <n v="781"/>
    <x v="32"/>
    <x v="4"/>
    <m/>
    <m/>
    <m/>
    <m/>
    <m/>
    <m/>
    <m/>
    <s v="OK"/>
  </r>
  <r>
    <x v="83"/>
    <s v="Suresh"/>
    <x v="2"/>
    <x v="82"/>
    <x v="6"/>
    <n v="9829974201"/>
    <s v="pooja@company.com"/>
    <x v="83"/>
    <x v="1"/>
    <m/>
    <m/>
    <m/>
    <m/>
    <m/>
    <x v="17"/>
    <x v="1"/>
    <n v="1878"/>
    <x v="43"/>
    <x v="5"/>
    <m/>
    <m/>
    <m/>
    <m/>
    <m/>
    <m/>
    <m/>
    <s v="OK"/>
  </r>
  <r>
    <x v="84"/>
    <s v="Rahul"/>
    <x v="3"/>
    <x v="83"/>
    <x v="73"/>
    <n v="9425753674"/>
    <s v="pooja@company.com"/>
    <x v="84"/>
    <x v="3"/>
    <m/>
    <m/>
    <m/>
    <m/>
    <m/>
    <x v="11"/>
    <x v="1"/>
    <n v="674"/>
    <x v="17"/>
    <x v="2"/>
    <m/>
    <m/>
    <m/>
    <m/>
    <m/>
    <m/>
    <m/>
    <s v="OK"/>
  </r>
  <r>
    <x v="85"/>
    <s v="Vikas"/>
    <x v="3"/>
    <x v="84"/>
    <x v="74"/>
    <n v="9924938265"/>
    <s v="rahul@company.com"/>
    <x v="85"/>
    <x v="3"/>
    <m/>
    <m/>
    <m/>
    <m/>
    <m/>
    <x v="13"/>
    <x v="0"/>
    <n v="1049"/>
    <x v="31"/>
    <x v="4"/>
    <m/>
    <m/>
    <m/>
    <m/>
    <m/>
    <m/>
    <m/>
    <s v="OK"/>
  </r>
  <r>
    <x v="86"/>
    <s v="Amit"/>
    <x v="1"/>
    <x v="85"/>
    <x v="75"/>
    <n v="9839858808"/>
    <s v="kiran@company.com"/>
    <x v="86"/>
    <x v="4"/>
    <m/>
    <m/>
    <m/>
    <m/>
    <m/>
    <x v="1"/>
    <x v="0"/>
    <n v="1236"/>
    <x v="40"/>
    <x v="0"/>
    <m/>
    <m/>
    <m/>
    <m/>
    <m/>
    <m/>
    <m/>
    <s v="OK"/>
  </r>
  <r>
    <x v="87"/>
    <s v="Pooja"/>
    <x v="0"/>
    <x v="86"/>
    <x v="76"/>
    <n v="9383579421"/>
    <s v="suresh@gmail.com"/>
    <x v="87"/>
    <x v="3"/>
    <m/>
    <m/>
    <m/>
    <m/>
    <m/>
    <x v="7"/>
    <x v="0"/>
    <n v="818"/>
    <x v="10"/>
    <x v="4"/>
    <m/>
    <m/>
    <m/>
    <m/>
    <m/>
    <m/>
    <m/>
    <s v="OK"/>
  </r>
  <r>
    <x v="88"/>
    <s v="Sunita"/>
    <x v="0"/>
    <x v="87"/>
    <x v="77"/>
    <n v="9731920574"/>
    <s v="amit@company.com"/>
    <x v="88"/>
    <x v="1"/>
    <m/>
    <m/>
    <m/>
    <m/>
    <m/>
    <x v="7"/>
    <x v="1"/>
    <n v="689"/>
    <x v="17"/>
    <x v="2"/>
    <m/>
    <m/>
    <m/>
    <m/>
    <m/>
    <m/>
    <m/>
    <s v="OK"/>
  </r>
  <r>
    <x v="89"/>
    <s v="Amit"/>
    <x v="3"/>
    <x v="88"/>
    <x v="78"/>
    <n v="9632028890"/>
    <s v="vikas@company.com"/>
    <x v="89"/>
    <x v="2"/>
    <m/>
    <m/>
    <m/>
    <m/>
    <m/>
    <x v="13"/>
    <x v="1"/>
    <n v="1395"/>
    <x v="3"/>
    <x v="0"/>
    <m/>
    <m/>
    <m/>
    <m/>
    <m/>
    <m/>
    <m/>
    <s v="OK"/>
  </r>
  <r>
    <x v="90"/>
    <s v="Vikas"/>
    <x v="0"/>
    <x v="89"/>
    <x v="6"/>
    <n v="9387766279"/>
    <s v="ankit@company.com"/>
    <x v="90"/>
    <x v="0"/>
    <m/>
    <m/>
    <m/>
    <m/>
    <m/>
    <x v="16"/>
    <x v="1"/>
    <n v="1854"/>
    <x v="44"/>
    <x v="5"/>
    <m/>
    <m/>
    <m/>
    <m/>
    <m/>
    <m/>
    <m/>
    <s v="OK"/>
  </r>
  <r>
    <x v="91"/>
    <s v="Pooja"/>
    <x v="0"/>
    <x v="90"/>
    <x v="79"/>
    <n v="9844127862"/>
    <s v="sunita@company.com"/>
    <x v="91"/>
    <x v="3"/>
    <m/>
    <m/>
    <m/>
    <m/>
    <m/>
    <x v="23"/>
    <x v="1"/>
    <n v="1392"/>
    <x v="3"/>
    <x v="0"/>
    <m/>
    <m/>
    <m/>
    <m/>
    <m/>
    <m/>
    <m/>
    <s v="OK"/>
  </r>
  <r>
    <x v="92"/>
    <s v="Neha"/>
    <x v="0"/>
    <x v="4"/>
    <x v="80"/>
    <n v="9828757360"/>
    <s v="pooja@company.com"/>
    <x v="92"/>
    <x v="3"/>
    <m/>
    <m/>
    <m/>
    <m/>
    <m/>
    <x v="8"/>
    <x v="0"/>
    <n v="759"/>
    <x v="27"/>
    <x v="4"/>
    <m/>
    <m/>
    <m/>
    <m/>
    <m/>
    <m/>
    <m/>
    <s v="OK"/>
  </r>
  <r>
    <x v="93"/>
    <s v="Ravi"/>
    <x v="2"/>
    <x v="91"/>
    <x v="81"/>
    <n v="9758816519"/>
    <s v="neha@company.com"/>
    <x v="93"/>
    <x v="3"/>
    <m/>
    <m/>
    <m/>
    <m/>
    <m/>
    <x v="15"/>
    <x v="1"/>
    <n v="386"/>
    <x v="45"/>
    <x v="2"/>
    <m/>
    <m/>
    <m/>
    <m/>
    <m/>
    <m/>
    <m/>
    <s v="OK"/>
  </r>
  <r>
    <x v="94"/>
    <s v="Ankit"/>
    <x v="2"/>
    <x v="92"/>
    <x v="82"/>
    <n v="9841727344"/>
    <s v="ravi@company.com"/>
    <x v="94"/>
    <x v="1"/>
    <m/>
    <m/>
    <m/>
    <m/>
    <m/>
    <x v="3"/>
    <x v="0"/>
    <n v="886"/>
    <x v="7"/>
    <x v="4"/>
    <m/>
    <m/>
    <m/>
    <m/>
    <m/>
    <m/>
    <m/>
    <s v="OK"/>
  </r>
  <r>
    <x v="95"/>
    <s v="Kiran"/>
    <x v="3"/>
    <x v="93"/>
    <x v="83"/>
    <n v="9594756100"/>
    <s v="neha@gmail.com"/>
    <x v="95"/>
    <x v="1"/>
    <m/>
    <m/>
    <m/>
    <m/>
    <m/>
    <x v="21"/>
    <x v="0"/>
    <n v="1229"/>
    <x v="40"/>
    <x v="0"/>
    <m/>
    <m/>
    <m/>
    <m/>
    <m/>
    <m/>
    <m/>
    <s v="OK"/>
  </r>
  <r>
    <x v="96"/>
    <s v="Ravi"/>
    <x v="3"/>
    <x v="94"/>
    <x v="84"/>
    <n v="9170482684"/>
    <s v="sunita@company.com"/>
    <x v="96"/>
    <x v="4"/>
    <m/>
    <m/>
    <m/>
    <m/>
    <m/>
    <x v="21"/>
    <x v="0"/>
    <n v="1352"/>
    <x v="19"/>
    <x v="0"/>
    <m/>
    <m/>
    <m/>
    <m/>
    <m/>
    <m/>
    <m/>
    <s v="OK"/>
  </r>
  <r>
    <x v="97"/>
    <s v="Ankit"/>
    <x v="2"/>
    <x v="86"/>
    <x v="6"/>
    <n v="9831807096"/>
    <s v="vikas@company.com"/>
    <x v="97"/>
    <x v="3"/>
    <m/>
    <m/>
    <m/>
    <m/>
    <m/>
    <x v="24"/>
    <x v="2"/>
    <n v="1166"/>
    <x v="42"/>
    <x v="0"/>
    <m/>
    <m/>
    <m/>
    <m/>
    <m/>
    <m/>
    <m/>
    <s v="OK"/>
  </r>
  <r>
    <x v="98"/>
    <s v="Rahul"/>
    <x v="3"/>
    <x v="95"/>
    <x v="85"/>
    <n v="9362510904"/>
    <s v="amit@company.com"/>
    <x v="98"/>
    <x v="4"/>
    <m/>
    <m/>
    <m/>
    <m/>
    <m/>
    <x v="2"/>
    <x v="2"/>
    <n v="1476"/>
    <x v="46"/>
    <x v="3"/>
    <m/>
    <m/>
    <m/>
    <m/>
    <m/>
    <m/>
    <m/>
    <s v="OK"/>
  </r>
  <r>
    <x v="99"/>
    <s v="Ravi"/>
    <x v="2"/>
    <x v="96"/>
    <x v="86"/>
    <n v="9789752352"/>
    <s v="rahul@company.com"/>
    <x v="99"/>
    <x v="1"/>
    <m/>
    <m/>
    <m/>
    <m/>
    <m/>
    <x v="8"/>
    <x v="2"/>
    <n v="819"/>
    <x v="10"/>
    <x v="4"/>
    <m/>
    <m/>
    <m/>
    <m/>
    <m/>
    <m/>
    <m/>
    <s v="OK"/>
  </r>
  <r>
    <x v="100"/>
    <s v="Amit"/>
    <x v="3"/>
    <x v="97"/>
    <x v="87"/>
    <n v="9578262930"/>
    <s v="sunita@company.com"/>
    <x v="100"/>
    <x v="3"/>
    <m/>
    <m/>
    <m/>
    <m/>
    <m/>
    <x v="11"/>
    <x v="0"/>
    <n v="1202"/>
    <x v="47"/>
    <x v="0"/>
    <m/>
    <m/>
    <m/>
    <m/>
    <m/>
    <m/>
    <m/>
    <s v="OK"/>
  </r>
  <r>
    <x v="101"/>
    <s v="Sunita"/>
    <x v="1"/>
    <x v="98"/>
    <x v="88"/>
    <n v="9879664305"/>
    <s v="neha@company.com"/>
    <x v="101"/>
    <x v="2"/>
    <m/>
    <m/>
    <m/>
    <m/>
    <m/>
    <x v="13"/>
    <x v="1"/>
    <n v="1269"/>
    <x v="16"/>
    <x v="0"/>
    <m/>
    <m/>
    <m/>
    <m/>
    <m/>
    <m/>
    <m/>
    <s v="OK"/>
  </r>
  <r>
    <x v="102"/>
    <s v="Pooja"/>
    <x v="0"/>
    <x v="99"/>
    <x v="89"/>
    <n v="9771413497"/>
    <s v="pooja@company.com"/>
    <x v="102"/>
    <x v="4"/>
    <m/>
    <m/>
    <m/>
    <m/>
    <m/>
    <x v="20"/>
    <x v="2"/>
    <n v="1307"/>
    <x v="21"/>
    <x v="0"/>
    <m/>
    <m/>
    <m/>
    <m/>
    <m/>
    <m/>
    <m/>
    <s v="OK"/>
  </r>
  <r>
    <x v="103"/>
    <s v="Kiran"/>
    <x v="0"/>
    <x v="100"/>
    <x v="90"/>
    <n v="9301582902"/>
    <s v="sunita@gmail.com"/>
    <x v="103"/>
    <x v="2"/>
    <m/>
    <m/>
    <m/>
    <m/>
    <m/>
    <x v="15"/>
    <x v="2"/>
    <n v="406"/>
    <x v="48"/>
    <x v="2"/>
    <m/>
    <m/>
    <m/>
    <m/>
    <m/>
    <m/>
    <m/>
    <s v="CHECK"/>
  </r>
  <r>
    <x v="104"/>
    <s v="Ankit"/>
    <x v="2"/>
    <x v="101"/>
    <x v="6"/>
    <n v="9747584322"/>
    <s v="rahul@company.com"/>
    <x v="104"/>
    <x v="4"/>
    <m/>
    <m/>
    <m/>
    <m/>
    <m/>
    <x v="10"/>
    <x v="2"/>
    <n v="1045"/>
    <x v="31"/>
    <x v="4"/>
    <m/>
    <m/>
    <m/>
    <m/>
    <m/>
    <m/>
    <m/>
    <s v="OK"/>
  </r>
  <r>
    <x v="105"/>
    <s v="Ravi"/>
    <x v="1"/>
    <x v="102"/>
    <x v="91"/>
    <n v="9350953080"/>
    <s v="ankit@company.com"/>
    <x v="105"/>
    <x v="4"/>
    <m/>
    <m/>
    <m/>
    <m/>
    <m/>
    <x v="14"/>
    <x v="2"/>
    <n v="647"/>
    <x v="39"/>
    <x v="2"/>
    <m/>
    <m/>
    <m/>
    <m/>
    <m/>
    <m/>
    <m/>
    <s v="OK"/>
  </r>
  <r>
    <x v="106"/>
    <s v="Kiran"/>
    <x v="2"/>
    <x v="103"/>
    <x v="92"/>
    <n v="9572910705"/>
    <s v="kiran@company.com"/>
    <x v="106"/>
    <x v="1"/>
    <m/>
    <m/>
    <m/>
    <m/>
    <m/>
    <x v="0"/>
    <x v="0"/>
    <n v="833"/>
    <x v="18"/>
    <x v="4"/>
    <m/>
    <m/>
    <m/>
    <m/>
    <m/>
    <m/>
    <m/>
    <s v="OK"/>
  </r>
  <r>
    <x v="107"/>
    <s v="Rahul"/>
    <x v="2"/>
    <x v="104"/>
    <x v="93"/>
    <n v="9174155927"/>
    <s v="sunita@company.com"/>
    <x v="107"/>
    <x v="2"/>
    <m/>
    <m/>
    <m/>
    <m/>
    <m/>
    <x v="4"/>
    <x v="2"/>
    <n v="779"/>
    <x v="32"/>
    <x v="4"/>
    <m/>
    <m/>
    <m/>
    <m/>
    <m/>
    <m/>
    <m/>
    <s v="OK"/>
  </r>
  <r>
    <x v="108"/>
    <s v="Neha"/>
    <x v="1"/>
    <x v="105"/>
    <x v="94"/>
    <n v="9565128712"/>
    <s v="ankit@company.com"/>
    <x v="108"/>
    <x v="1"/>
    <m/>
    <m/>
    <m/>
    <m/>
    <m/>
    <x v="6"/>
    <x v="1"/>
    <n v="661"/>
    <x v="39"/>
    <x v="2"/>
    <m/>
    <m/>
    <m/>
    <m/>
    <m/>
    <m/>
    <m/>
    <s v="OK"/>
  </r>
  <r>
    <x v="109"/>
    <s v="Sunita"/>
    <x v="1"/>
    <x v="106"/>
    <x v="95"/>
    <n v="9910851763"/>
    <s v="ankit@company.com"/>
    <x v="109"/>
    <x v="2"/>
    <m/>
    <m/>
    <m/>
    <m/>
    <m/>
    <x v="23"/>
    <x v="0"/>
    <n v="423"/>
    <x v="48"/>
    <x v="2"/>
    <m/>
    <m/>
    <m/>
    <m/>
    <m/>
    <m/>
    <m/>
    <s v="CHECK"/>
  </r>
  <r>
    <x v="110"/>
    <s v="Pooja"/>
    <x v="0"/>
    <x v="107"/>
    <x v="96"/>
    <n v="9991067028"/>
    <s v="pooja@company.com"/>
    <x v="110"/>
    <x v="1"/>
    <m/>
    <m/>
    <m/>
    <m/>
    <m/>
    <x v="3"/>
    <x v="2"/>
    <n v="1190"/>
    <x v="47"/>
    <x v="0"/>
    <m/>
    <m/>
    <m/>
    <m/>
    <m/>
    <m/>
    <m/>
    <s v="OK"/>
  </r>
  <r>
    <x v="111"/>
    <s v="Neha"/>
    <x v="1"/>
    <x v="108"/>
    <x v="6"/>
    <n v="9573704782"/>
    <s v="kiran@gmail.com"/>
    <x v="111"/>
    <x v="1"/>
    <m/>
    <m/>
    <m/>
    <m/>
    <m/>
    <x v="24"/>
    <x v="0"/>
    <n v="1490"/>
    <x v="46"/>
    <x v="3"/>
    <m/>
    <m/>
    <m/>
    <m/>
    <m/>
    <m/>
    <m/>
    <s v="OK"/>
  </r>
  <r>
    <x v="112"/>
    <s v="Ravi"/>
    <x v="3"/>
    <x v="109"/>
    <x v="97"/>
    <n v="9134957314"/>
    <s v="kiran@company.com"/>
    <x v="112"/>
    <x v="1"/>
    <m/>
    <m/>
    <m/>
    <m/>
    <m/>
    <x v="23"/>
    <x v="1"/>
    <n v="666"/>
    <x v="39"/>
    <x v="2"/>
    <m/>
    <m/>
    <m/>
    <m/>
    <m/>
    <m/>
    <m/>
    <s v="OK"/>
  </r>
  <r>
    <x v="113"/>
    <s v="Pooja"/>
    <x v="1"/>
    <x v="110"/>
    <x v="98"/>
    <n v="9109308485"/>
    <s v="amit@company.com"/>
    <x v="113"/>
    <x v="1"/>
    <m/>
    <m/>
    <m/>
    <m/>
    <m/>
    <x v="24"/>
    <x v="1"/>
    <n v="575"/>
    <x v="49"/>
    <x v="2"/>
    <m/>
    <m/>
    <m/>
    <m/>
    <m/>
    <m/>
    <m/>
    <s v="OK"/>
  </r>
  <r>
    <x v="114"/>
    <s v="Pooja"/>
    <x v="2"/>
    <x v="111"/>
    <x v="99"/>
    <n v="9362757463"/>
    <s v="sunita@company.com"/>
    <x v="114"/>
    <x v="4"/>
    <m/>
    <m/>
    <m/>
    <m/>
    <m/>
    <x v="7"/>
    <x v="2"/>
    <n v="259"/>
    <x v="12"/>
    <x v="1"/>
    <m/>
    <m/>
    <m/>
    <m/>
    <m/>
    <m/>
    <m/>
    <s v="OK"/>
  </r>
  <r>
    <x v="115"/>
    <s v="Suresh"/>
    <x v="1"/>
    <x v="112"/>
    <x v="100"/>
    <n v="9899902911"/>
    <s v="suresh@company.com"/>
    <x v="115"/>
    <x v="3"/>
    <m/>
    <m/>
    <m/>
    <m/>
    <m/>
    <x v="24"/>
    <x v="2"/>
    <n v="678"/>
    <x v="17"/>
    <x v="2"/>
    <m/>
    <m/>
    <m/>
    <m/>
    <m/>
    <m/>
    <m/>
    <s v="OK"/>
  </r>
  <r>
    <x v="116"/>
    <s v="Vikas"/>
    <x v="3"/>
    <x v="113"/>
    <x v="101"/>
    <n v="9911403067"/>
    <s v="rahul@company.com"/>
    <x v="116"/>
    <x v="4"/>
    <m/>
    <m/>
    <m/>
    <m/>
    <m/>
    <x v="14"/>
    <x v="1"/>
    <n v="1148"/>
    <x v="0"/>
    <x v="0"/>
    <m/>
    <m/>
    <m/>
    <m/>
    <m/>
    <m/>
    <m/>
    <s v="OK"/>
  </r>
  <r>
    <x v="117"/>
    <s v="Neha"/>
    <x v="3"/>
    <x v="114"/>
    <x v="102"/>
    <n v="9365323178"/>
    <s v="neha@company.com"/>
    <x v="117"/>
    <x v="3"/>
    <m/>
    <m/>
    <m/>
    <m/>
    <m/>
    <x v="9"/>
    <x v="1"/>
    <n v="589"/>
    <x v="8"/>
    <x v="2"/>
    <m/>
    <m/>
    <m/>
    <m/>
    <m/>
    <m/>
    <m/>
    <s v="OK"/>
  </r>
  <r>
    <x v="118"/>
    <s v="Sunita"/>
    <x v="3"/>
    <x v="115"/>
    <x v="6"/>
    <n v="9837136189"/>
    <s v="pooja@company.com"/>
    <x v="118"/>
    <x v="2"/>
    <m/>
    <m/>
    <m/>
    <m/>
    <m/>
    <x v="0"/>
    <x v="2"/>
    <n v="1327"/>
    <x v="6"/>
    <x v="0"/>
    <m/>
    <m/>
    <m/>
    <m/>
    <m/>
    <m/>
    <m/>
    <s v="OK"/>
  </r>
  <r>
    <x v="119"/>
    <s v="Ankit"/>
    <x v="3"/>
    <x v="116"/>
    <x v="103"/>
    <n v="9722352802"/>
    <s v="ravi@gmail.com"/>
    <x v="119"/>
    <x v="1"/>
    <m/>
    <m/>
    <m/>
    <m/>
    <m/>
    <x v="17"/>
    <x v="0"/>
    <n v="1352"/>
    <x v="19"/>
    <x v="0"/>
    <m/>
    <m/>
    <m/>
    <m/>
    <m/>
    <m/>
    <m/>
    <s v="OK"/>
  </r>
  <r>
    <x v="120"/>
    <s v="Vikas"/>
    <x v="3"/>
    <x v="117"/>
    <x v="104"/>
    <n v="9890543949"/>
    <s v="pooja@company.com"/>
    <x v="120"/>
    <x v="3"/>
    <m/>
    <m/>
    <m/>
    <m/>
    <m/>
    <x v="11"/>
    <x v="0"/>
    <n v="482"/>
    <x v="30"/>
    <x v="2"/>
    <m/>
    <m/>
    <m/>
    <m/>
    <m/>
    <m/>
    <m/>
    <s v="OK"/>
  </r>
  <r>
    <x v="121"/>
    <s v="Kiran"/>
    <x v="0"/>
    <x v="118"/>
    <x v="105"/>
    <n v="9988898245"/>
    <s v="pooja@company.com"/>
    <x v="121"/>
    <x v="3"/>
    <m/>
    <m/>
    <m/>
    <m/>
    <m/>
    <x v="19"/>
    <x v="2"/>
    <n v="105"/>
    <x v="1"/>
    <x v="1"/>
    <m/>
    <m/>
    <m/>
    <m/>
    <m/>
    <m/>
    <m/>
    <s v="OK"/>
  </r>
  <r>
    <x v="122"/>
    <s v="Sunita"/>
    <x v="0"/>
    <x v="119"/>
    <x v="106"/>
    <n v="9776759070"/>
    <s v="ravi@company.com"/>
    <x v="122"/>
    <x v="2"/>
    <m/>
    <m/>
    <m/>
    <m/>
    <m/>
    <x v="8"/>
    <x v="0"/>
    <n v="1250"/>
    <x v="16"/>
    <x v="0"/>
    <m/>
    <m/>
    <m/>
    <m/>
    <m/>
    <m/>
    <m/>
    <s v="OK"/>
  </r>
  <r>
    <x v="123"/>
    <s v="Rahul"/>
    <x v="2"/>
    <x v="120"/>
    <x v="107"/>
    <n v="9270124250"/>
    <s v="amit@company.com"/>
    <x v="123"/>
    <x v="2"/>
    <m/>
    <m/>
    <m/>
    <m/>
    <m/>
    <x v="14"/>
    <x v="0"/>
    <n v="385"/>
    <x v="45"/>
    <x v="2"/>
    <m/>
    <m/>
    <m/>
    <m/>
    <m/>
    <m/>
    <m/>
    <s v="CHECK"/>
  </r>
  <r>
    <x v="124"/>
    <s v="Vikas"/>
    <x v="3"/>
    <x v="121"/>
    <x v="108"/>
    <n v="9243676089"/>
    <s v="ravi@company.com"/>
    <x v="124"/>
    <x v="1"/>
    <m/>
    <m/>
    <m/>
    <m/>
    <m/>
    <x v="5"/>
    <x v="2"/>
    <n v="1491"/>
    <x v="46"/>
    <x v="3"/>
    <m/>
    <m/>
    <m/>
    <m/>
    <m/>
    <m/>
    <m/>
    <s v="OK"/>
  </r>
  <r>
    <x v="125"/>
    <s v="Ravi"/>
    <x v="2"/>
    <x v="122"/>
    <x v="6"/>
    <n v="9206351889"/>
    <s v="sunita@company.com"/>
    <x v="125"/>
    <x v="3"/>
    <m/>
    <m/>
    <m/>
    <m/>
    <m/>
    <x v="12"/>
    <x v="1"/>
    <n v="2131"/>
    <x v="50"/>
    <x v="5"/>
    <m/>
    <m/>
    <m/>
    <m/>
    <m/>
    <m/>
    <m/>
    <s v="OK"/>
  </r>
  <r>
    <x v="126"/>
    <s v="Suresh"/>
    <x v="0"/>
    <x v="123"/>
    <x v="109"/>
    <n v="9109527119"/>
    <s v="sunita@company.com"/>
    <x v="126"/>
    <x v="0"/>
    <m/>
    <m/>
    <m/>
    <m/>
    <m/>
    <x v="2"/>
    <x v="0"/>
    <n v="653"/>
    <x v="39"/>
    <x v="2"/>
    <m/>
    <m/>
    <m/>
    <m/>
    <m/>
    <m/>
    <m/>
    <s v="OK"/>
  </r>
  <r>
    <x v="127"/>
    <s v="Neha"/>
    <x v="1"/>
    <x v="124"/>
    <x v="110"/>
    <n v="9218041954"/>
    <s v="kiran@gmail.com"/>
    <x v="127"/>
    <x v="1"/>
    <m/>
    <m/>
    <m/>
    <m/>
    <m/>
    <x v="7"/>
    <x v="2"/>
    <n v="1346"/>
    <x v="19"/>
    <x v="0"/>
    <m/>
    <m/>
    <m/>
    <m/>
    <m/>
    <m/>
    <m/>
    <s v="OK"/>
  </r>
  <r>
    <x v="128"/>
    <s v="Ravi"/>
    <x v="1"/>
    <x v="125"/>
    <x v="111"/>
    <n v="9838277221"/>
    <s v="vikas@company.com"/>
    <x v="128"/>
    <x v="0"/>
    <m/>
    <m/>
    <m/>
    <m/>
    <m/>
    <x v="2"/>
    <x v="0"/>
    <n v="467"/>
    <x v="30"/>
    <x v="2"/>
    <m/>
    <m/>
    <m/>
    <m/>
    <m/>
    <m/>
    <m/>
    <s v="OK"/>
  </r>
  <r>
    <x v="129"/>
    <s v="Kiran"/>
    <x v="1"/>
    <x v="76"/>
    <x v="112"/>
    <n v="9516138229"/>
    <s v="suresh@company.com"/>
    <x v="129"/>
    <x v="0"/>
    <m/>
    <m/>
    <m/>
    <m/>
    <m/>
    <x v="0"/>
    <x v="0"/>
    <n v="1403"/>
    <x v="22"/>
    <x v="0"/>
    <m/>
    <m/>
    <m/>
    <m/>
    <m/>
    <m/>
    <m/>
    <s v="OK"/>
  </r>
  <r>
    <x v="130"/>
    <s v="Sunita"/>
    <x v="1"/>
    <x v="126"/>
    <x v="113"/>
    <n v="9376811782"/>
    <s v="pooja@company.com"/>
    <x v="130"/>
    <x v="0"/>
    <m/>
    <m/>
    <m/>
    <m/>
    <m/>
    <x v="2"/>
    <x v="1"/>
    <n v="278"/>
    <x v="37"/>
    <x v="1"/>
    <m/>
    <m/>
    <m/>
    <m/>
    <m/>
    <m/>
    <m/>
    <s v="OK"/>
  </r>
  <r>
    <x v="131"/>
    <s v="Ankit"/>
    <x v="2"/>
    <x v="127"/>
    <x v="114"/>
    <n v="9283074810"/>
    <s v="sunita@company.com"/>
    <x v="131"/>
    <x v="1"/>
    <m/>
    <m/>
    <m/>
    <m/>
    <m/>
    <x v="0"/>
    <x v="0"/>
    <n v="1433"/>
    <x v="33"/>
    <x v="0"/>
    <m/>
    <m/>
    <m/>
    <m/>
    <m/>
    <m/>
    <m/>
    <s v="OK"/>
  </r>
  <r>
    <x v="132"/>
    <s v="Ankit"/>
    <x v="0"/>
    <x v="128"/>
    <x v="6"/>
    <n v="9541607757"/>
    <s v="rahul@company.com"/>
    <x v="132"/>
    <x v="4"/>
    <m/>
    <m/>
    <m/>
    <m/>
    <m/>
    <x v="7"/>
    <x v="1"/>
    <n v="1424"/>
    <x v="22"/>
    <x v="0"/>
    <m/>
    <m/>
    <m/>
    <m/>
    <m/>
    <m/>
    <m/>
    <s v="OK"/>
  </r>
  <r>
    <x v="133"/>
    <s v="Neha"/>
    <x v="3"/>
    <x v="129"/>
    <x v="115"/>
    <n v="9933720340"/>
    <s v="suresh@company.com"/>
    <x v="133"/>
    <x v="4"/>
    <m/>
    <m/>
    <m/>
    <m/>
    <m/>
    <x v="14"/>
    <x v="1"/>
    <n v="198"/>
    <x v="9"/>
    <x v="1"/>
    <m/>
    <m/>
    <m/>
    <m/>
    <m/>
    <m/>
    <m/>
    <s v="OK"/>
  </r>
  <r>
    <x v="134"/>
    <s v="Sunita"/>
    <x v="2"/>
    <x v="130"/>
    <x v="116"/>
    <n v="9994614771"/>
    <s v="suresh@company.com"/>
    <x v="134"/>
    <x v="1"/>
    <m/>
    <m/>
    <m/>
    <m/>
    <m/>
    <x v="10"/>
    <x v="0"/>
    <n v="1026"/>
    <x v="14"/>
    <x v="4"/>
    <m/>
    <m/>
    <m/>
    <m/>
    <m/>
    <m/>
    <m/>
    <s v="OK"/>
  </r>
  <r>
    <x v="135"/>
    <s v="Amit"/>
    <x v="1"/>
    <x v="9"/>
    <x v="117"/>
    <n v="9598233365"/>
    <s v="neha@gmail.com"/>
    <x v="135"/>
    <x v="2"/>
    <m/>
    <m/>
    <m/>
    <m/>
    <m/>
    <x v="7"/>
    <x v="2"/>
    <n v="139"/>
    <x v="51"/>
    <x v="1"/>
    <m/>
    <m/>
    <m/>
    <m/>
    <m/>
    <m/>
    <m/>
    <s v="CHECK"/>
  </r>
  <r>
    <x v="136"/>
    <s v="Kiran"/>
    <x v="0"/>
    <x v="131"/>
    <x v="118"/>
    <n v="9220357031"/>
    <s v="sunita@company.com"/>
    <x v="136"/>
    <x v="1"/>
    <m/>
    <m/>
    <m/>
    <m/>
    <m/>
    <x v="13"/>
    <x v="0"/>
    <n v="972"/>
    <x v="52"/>
    <x v="4"/>
    <m/>
    <m/>
    <m/>
    <m/>
    <m/>
    <m/>
    <m/>
    <s v="OK"/>
  </r>
  <r>
    <x v="137"/>
    <s v="Neha"/>
    <x v="2"/>
    <x v="132"/>
    <x v="119"/>
    <n v="9953147974"/>
    <s v="vikas@company.com"/>
    <x v="137"/>
    <x v="1"/>
    <m/>
    <m/>
    <m/>
    <m/>
    <m/>
    <x v="3"/>
    <x v="2"/>
    <n v="553"/>
    <x v="49"/>
    <x v="2"/>
    <m/>
    <m/>
    <m/>
    <m/>
    <m/>
    <m/>
    <m/>
    <s v="OK"/>
  </r>
  <r>
    <x v="138"/>
    <s v="Ravi"/>
    <x v="0"/>
    <x v="133"/>
    <x v="120"/>
    <n v="9796115365"/>
    <s v="vikas@company.com"/>
    <x v="138"/>
    <x v="2"/>
    <m/>
    <m/>
    <m/>
    <m/>
    <m/>
    <x v="16"/>
    <x v="2"/>
    <n v="438"/>
    <x v="34"/>
    <x v="2"/>
    <m/>
    <m/>
    <m/>
    <m/>
    <m/>
    <m/>
    <m/>
    <s v="CHECK"/>
  </r>
  <r>
    <x v="139"/>
    <s v="Amit"/>
    <x v="3"/>
    <x v="134"/>
    <x v="6"/>
    <n v="9507387598"/>
    <s v="kiran@company.com"/>
    <x v="139"/>
    <x v="2"/>
    <m/>
    <m/>
    <m/>
    <m/>
    <m/>
    <x v="1"/>
    <x v="0"/>
    <n v="1118"/>
    <x v="13"/>
    <x v="0"/>
    <m/>
    <m/>
    <m/>
    <m/>
    <m/>
    <m/>
    <m/>
    <s v="OK"/>
  </r>
  <r>
    <x v="140"/>
    <s v="Ravi"/>
    <x v="3"/>
    <x v="135"/>
    <x v="121"/>
    <n v="9250551491"/>
    <s v="amit@company.com"/>
    <x v="140"/>
    <x v="4"/>
    <m/>
    <m/>
    <m/>
    <m/>
    <m/>
    <x v="14"/>
    <x v="0"/>
    <n v="246"/>
    <x v="12"/>
    <x v="1"/>
    <m/>
    <m/>
    <m/>
    <m/>
    <m/>
    <m/>
    <m/>
    <s v="OK"/>
  </r>
  <r>
    <x v="141"/>
    <s v="Ankit"/>
    <x v="2"/>
    <x v="136"/>
    <x v="122"/>
    <n v="9391772996"/>
    <s v="ankit@company.com"/>
    <x v="141"/>
    <x v="0"/>
    <m/>
    <m/>
    <m/>
    <m/>
    <m/>
    <x v="22"/>
    <x v="2"/>
    <n v="1403"/>
    <x v="22"/>
    <x v="0"/>
    <m/>
    <m/>
    <m/>
    <m/>
    <m/>
    <m/>
    <m/>
    <s v="OK"/>
  </r>
  <r>
    <x v="142"/>
    <s v="Kiran"/>
    <x v="1"/>
    <x v="137"/>
    <x v="123"/>
    <n v="9113871794"/>
    <s v="pooja@company.com"/>
    <x v="142"/>
    <x v="1"/>
    <m/>
    <m/>
    <m/>
    <m/>
    <m/>
    <x v="21"/>
    <x v="1"/>
    <n v="117"/>
    <x v="1"/>
    <x v="1"/>
    <m/>
    <m/>
    <m/>
    <m/>
    <m/>
    <m/>
    <m/>
    <s v="OK"/>
  </r>
  <r>
    <x v="143"/>
    <s v="Rahul"/>
    <x v="2"/>
    <x v="138"/>
    <x v="124"/>
    <n v="9514885864"/>
    <s v="suresh@gmail.com"/>
    <x v="143"/>
    <x v="1"/>
    <m/>
    <m/>
    <m/>
    <m/>
    <m/>
    <x v="16"/>
    <x v="2"/>
    <n v="1050"/>
    <x v="31"/>
    <x v="4"/>
    <m/>
    <m/>
    <m/>
    <m/>
    <m/>
    <m/>
    <m/>
    <s v="OK"/>
  </r>
  <r>
    <x v="144"/>
    <s v="Sunita"/>
    <x v="1"/>
    <x v="139"/>
    <x v="125"/>
    <n v="9623266099"/>
    <s v="ravi@company.com"/>
    <x v="144"/>
    <x v="4"/>
    <m/>
    <m/>
    <m/>
    <m/>
    <m/>
    <x v="8"/>
    <x v="1"/>
    <n v="469"/>
    <x v="30"/>
    <x v="2"/>
    <m/>
    <m/>
    <m/>
    <m/>
    <m/>
    <m/>
    <m/>
    <s v="OK"/>
  </r>
  <r>
    <x v="145"/>
    <s v="Rahul"/>
    <x v="3"/>
    <x v="140"/>
    <x v="126"/>
    <n v="9748934561"/>
    <s v="suresh@company.com"/>
    <x v="145"/>
    <x v="1"/>
    <m/>
    <m/>
    <m/>
    <m/>
    <m/>
    <x v="10"/>
    <x v="0"/>
    <n v="1083"/>
    <x v="23"/>
    <x v="4"/>
    <m/>
    <m/>
    <m/>
    <m/>
    <m/>
    <m/>
    <m/>
    <s v="OK"/>
  </r>
  <r>
    <x v="146"/>
    <s v="Amit"/>
    <x v="1"/>
    <x v="141"/>
    <x v="6"/>
    <n v="9944548286"/>
    <s v="ravi@company.com"/>
    <x v="146"/>
    <x v="2"/>
    <m/>
    <m/>
    <m/>
    <m/>
    <m/>
    <x v="23"/>
    <x v="2"/>
    <n v="2214"/>
    <x v="53"/>
    <x v="6"/>
    <m/>
    <m/>
    <m/>
    <m/>
    <m/>
    <m/>
    <m/>
    <s v="OK"/>
  </r>
  <r>
    <x v="147"/>
    <s v="Neha"/>
    <x v="2"/>
    <x v="142"/>
    <x v="127"/>
    <n v="9458080545"/>
    <s v="ravi@company.com"/>
    <x v="147"/>
    <x v="4"/>
    <m/>
    <m/>
    <m/>
    <m/>
    <m/>
    <x v="16"/>
    <x v="0"/>
    <n v="379"/>
    <x v="45"/>
    <x v="2"/>
    <m/>
    <m/>
    <m/>
    <m/>
    <m/>
    <m/>
    <m/>
    <s v="OK"/>
  </r>
  <r>
    <x v="148"/>
    <s v="Suresh"/>
    <x v="2"/>
    <x v="143"/>
    <x v="128"/>
    <n v="9142668901"/>
    <s v="vikas@company.com"/>
    <x v="148"/>
    <x v="0"/>
    <m/>
    <m/>
    <m/>
    <m/>
    <m/>
    <x v="23"/>
    <x v="1"/>
    <n v="404"/>
    <x v="48"/>
    <x v="2"/>
    <m/>
    <m/>
    <m/>
    <m/>
    <m/>
    <m/>
    <m/>
    <s v="OK"/>
  </r>
  <r>
    <x v="149"/>
    <s v="Neha"/>
    <x v="0"/>
    <x v="140"/>
    <x v="129"/>
    <n v="9149143665"/>
    <s v="amit@company.com"/>
    <x v="149"/>
    <x v="4"/>
    <m/>
    <m/>
    <m/>
    <m/>
    <m/>
    <x v="20"/>
    <x v="2"/>
    <n v="1148"/>
    <x v="0"/>
    <x v="0"/>
    <m/>
    <m/>
    <m/>
    <m/>
    <m/>
    <m/>
    <m/>
    <s v="OK"/>
  </r>
  <r>
    <x v="150"/>
    <s v="Amit"/>
    <x v="3"/>
    <x v="78"/>
    <x v="130"/>
    <n v="9325091238"/>
    <s v="ankit@company.com"/>
    <x v="150"/>
    <x v="0"/>
    <m/>
    <m/>
    <m/>
    <m/>
    <m/>
    <x v="8"/>
    <x v="0"/>
    <n v="1044"/>
    <x v="31"/>
    <x v="4"/>
    <m/>
    <m/>
    <m/>
    <m/>
    <m/>
    <m/>
    <m/>
    <s v="OK"/>
  </r>
  <r>
    <x v="151"/>
    <s v="Ravi"/>
    <x v="3"/>
    <x v="144"/>
    <x v="131"/>
    <n v="9103060842"/>
    <s v="vikas@gmail.com"/>
    <x v="151"/>
    <x v="4"/>
    <m/>
    <m/>
    <m/>
    <m/>
    <m/>
    <x v="10"/>
    <x v="0"/>
    <n v="883"/>
    <x v="7"/>
    <x v="4"/>
    <m/>
    <m/>
    <m/>
    <m/>
    <m/>
    <m/>
    <m/>
    <s v="OK"/>
  </r>
  <r>
    <x v="152"/>
    <s v="Vikas"/>
    <x v="2"/>
    <x v="145"/>
    <x v="132"/>
    <n v="9464646624"/>
    <s v="ravi@company.com"/>
    <x v="152"/>
    <x v="2"/>
    <m/>
    <m/>
    <m/>
    <m/>
    <m/>
    <x v="8"/>
    <x v="1"/>
    <n v="295"/>
    <x v="37"/>
    <x v="1"/>
    <m/>
    <m/>
    <m/>
    <m/>
    <m/>
    <m/>
    <m/>
    <s v="CHECK"/>
  </r>
  <r>
    <x v="153"/>
    <s v="Neha"/>
    <x v="1"/>
    <x v="146"/>
    <x v="6"/>
    <n v="9553996952"/>
    <s v="ankit@company.com"/>
    <x v="153"/>
    <x v="4"/>
    <m/>
    <m/>
    <m/>
    <m/>
    <m/>
    <x v="9"/>
    <x v="1"/>
    <n v="2403"/>
    <x v="54"/>
    <x v="6"/>
    <m/>
    <m/>
    <m/>
    <m/>
    <m/>
    <m/>
    <m/>
    <s v="OK"/>
  </r>
  <r>
    <x v="154"/>
    <s v="Neha"/>
    <x v="3"/>
    <x v="147"/>
    <x v="133"/>
    <n v="9360637312"/>
    <s v="suresh@company.com"/>
    <x v="154"/>
    <x v="4"/>
    <m/>
    <m/>
    <m/>
    <m/>
    <m/>
    <x v="13"/>
    <x v="2"/>
    <n v="931"/>
    <x v="35"/>
    <x v="4"/>
    <m/>
    <m/>
    <m/>
    <m/>
    <m/>
    <m/>
    <m/>
    <s v="OK"/>
  </r>
  <r>
    <x v="155"/>
    <s v="Amit"/>
    <x v="3"/>
    <x v="148"/>
    <x v="134"/>
    <n v="9903418703"/>
    <s v="neha@company.com"/>
    <x v="155"/>
    <x v="3"/>
    <m/>
    <m/>
    <m/>
    <m/>
    <m/>
    <x v="22"/>
    <x v="1"/>
    <n v="1029"/>
    <x v="14"/>
    <x v="4"/>
    <m/>
    <m/>
    <m/>
    <m/>
    <m/>
    <m/>
    <m/>
    <s v="OK"/>
  </r>
  <r>
    <x v="156"/>
    <s v="Ankit"/>
    <x v="1"/>
    <x v="149"/>
    <x v="135"/>
    <n v="9403672175"/>
    <s v="vikas@company.com"/>
    <x v="156"/>
    <x v="3"/>
    <m/>
    <m/>
    <m/>
    <m/>
    <m/>
    <x v="12"/>
    <x v="2"/>
    <n v="942"/>
    <x v="35"/>
    <x v="4"/>
    <m/>
    <m/>
    <m/>
    <m/>
    <m/>
    <m/>
    <m/>
    <s v="OK"/>
  </r>
  <r>
    <x v="157"/>
    <s v="Rahul"/>
    <x v="2"/>
    <x v="150"/>
    <x v="136"/>
    <n v="9586009592"/>
    <s v="kiran@company.com"/>
    <x v="157"/>
    <x v="3"/>
    <m/>
    <m/>
    <m/>
    <m/>
    <m/>
    <x v="5"/>
    <x v="1"/>
    <n v="114"/>
    <x v="1"/>
    <x v="1"/>
    <m/>
    <m/>
    <m/>
    <m/>
    <m/>
    <m/>
    <m/>
    <s v="OK"/>
  </r>
  <r>
    <x v="158"/>
    <s v="Kiran"/>
    <x v="1"/>
    <x v="151"/>
    <x v="137"/>
    <n v="9305546097"/>
    <s v="suresh@company.com"/>
    <x v="158"/>
    <x v="3"/>
    <m/>
    <m/>
    <m/>
    <m/>
    <m/>
    <x v="1"/>
    <x v="2"/>
    <n v="341"/>
    <x v="55"/>
    <x v="1"/>
    <m/>
    <m/>
    <m/>
    <m/>
    <m/>
    <m/>
    <m/>
    <s v="OK"/>
  </r>
  <r>
    <x v="159"/>
    <s v="Vikas"/>
    <x v="3"/>
    <x v="152"/>
    <x v="138"/>
    <n v="9197805202"/>
    <s v="ravi@gmail.com"/>
    <x v="159"/>
    <x v="4"/>
    <m/>
    <m/>
    <m/>
    <m/>
    <m/>
    <x v="16"/>
    <x v="0"/>
    <n v="784"/>
    <x v="32"/>
    <x v="4"/>
    <m/>
    <m/>
    <m/>
    <m/>
    <m/>
    <m/>
    <m/>
    <s v="OK"/>
  </r>
  <r>
    <x v="160"/>
    <s v="Amit"/>
    <x v="2"/>
    <x v="147"/>
    <x v="6"/>
    <n v="9321019621"/>
    <s v="pooja@company.com"/>
    <x v="160"/>
    <x v="3"/>
    <m/>
    <m/>
    <m/>
    <m/>
    <m/>
    <x v="7"/>
    <x v="1"/>
    <n v="1400"/>
    <x v="3"/>
    <x v="0"/>
    <m/>
    <m/>
    <m/>
    <m/>
    <m/>
    <m/>
    <m/>
    <s v="OK"/>
  </r>
  <r>
    <x v="161"/>
    <s v="Ankit"/>
    <x v="3"/>
    <x v="140"/>
    <x v="139"/>
    <n v="9922103068"/>
    <s v="amit@company.com"/>
    <x v="161"/>
    <x v="0"/>
    <m/>
    <m/>
    <m/>
    <m/>
    <m/>
    <x v="8"/>
    <x v="1"/>
    <n v="1490"/>
    <x v="46"/>
    <x v="3"/>
    <m/>
    <m/>
    <m/>
    <m/>
    <m/>
    <m/>
    <m/>
    <s v="OK"/>
  </r>
  <r>
    <x v="162"/>
    <s v="Kiran"/>
    <x v="0"/>
    <x v="153"/>
    <x v="140"/>
    <n v="9419965013"/>
    <s v="ankit@company.com"/>
    <x v="162"/>
    <x v="3"/>
    <m/>
    <m/>
    <m/>
    <m/>
    <m/>
    <x v="16"/>
    <x v="2"/>
    <n v="937"/>
    <x v="35"/>
    <x v="4"/>
    <m/>
    <m/>
    <m/>
    <m/>
    <m/>
    <m/>
    <m/>
    <s v="OK"/>
  </r>
  <r>
    <x v="163"/>
    <s v="Kiran"/>
    <x v="2"/>
    <x v="154"/>
    <x v="141"/>
    <n v="9935521152"/>
    <s v="suresh@company.com"/>
    <x v="163"/>
    <x v="4"/>
    <m/>
    <m/>
    <m/>
    <m/>
    <m/>
    <x v="20"/>
    <x v="1"/>
    <n v="907"/>
    <x v="7"/>
    <x v="4"/>
    <m/>
    <m/>
    <m/>
    <m/>
    <m/>
    <m/>
    <m/>
    <s v="OK"/>
  </r>
  <r>
    <x v="164"/>
    <s v="Rahul"/>
    <x v="1"/>
    <x v="155"/>
    <x v="142"/>
    <n v="9517257798"/>
    <s v="amit@company.com"/>
    <x v="164"/>
    <x v="4"/>
    <m/>
    <m/>
    <m/>
    <m/>
    <m/>
    <x v="5"/>
    <x v="2"/>
    <n v="1414"/>
    <x v="22"/>
    <x v="0"/>
    <m/>
    <m/>
    <m/>
    <m/>
    <m/>
    <m/>
    <m/>
    <s v="OK"/>
  </r>
  <r>
    <x v="165"/>
    <s v="Ankit"/>
    <x v="0"/>
    <x v="156"/>
    <x v="143"/>
    <n v="9134367329"/>
    <s v="pooja@company.com"/>
    <x v="165"/>
    <x v="3"/>
    <m/>
    <m/>
    <m/>
    <m/>
    <m/>
    <x v="8"/>
    <x v="2"/>
    <n v="819"/>
    <x v="10"/>
    <x v="4"/>
    <m/>
    <m/>
    <m/>
    <m/>
    <m/>
    <m/>
    <m/>
    <s v="OK"/>
  </r>
  <r>
    <x v="166"/>
    <s v="Kiran"/>
    <x v="3"/>
    <x v="157"/>
    <x v="144"/>
    <n v="9518555401"/>
    <s v="pooja@company.com"/>
    <x v="166"/>
    <x v="0"/>
    <m/>
    <m/>
    <m/>
    <m/>
    <m/>
    <x v="24"/>
    <x v="0"/>
    <n v="1172"/>
    <x v="42"/>
    <x v="0"/>
    <m/>
    <m/>
    <m/>
    <m/>
    <m/>
    <m/>
    <m/>
    <s v="OK"/>
  </r>
  <r>
    <x v="167"/>
    <s v="Rahul"/>
    <x v="2"/>
    <x v="158"/>
    <x v="6"/>
    <n v="9102133323"/>
    <s v="vikas@gmail.com"/>
    <x v="167"/>
    <x v="1"/>
    <m/>
    <m/>
    <m/>
    <m/>
    <m/>
    <x v="1"/>
    <x v="2"/>
    <n v="2102"/>
    <x v="50"/>
    <x v="5"/>
    <m/>
    <m/>
    <m/>
    <m/>
    <m/>
    <m/>
    <m/>
    <s v="OK"/>
  </r>
  <r>
    <x v="168"/>
    <s v="Sunita"/>
    <x v="1"/>
    <x v="159"/>
    <x v="145"/>
    <n v="9386403889"/>
    <s v="ravi@company.com"/>
    <x v="168"/>
    <x v="1"/>
    <m/>
    <m/>
    <m/>
    <m/>
    <m/>
    <x v="14"/>
    <x v="0"/>
    <n v="543"/>
    <x v="15"/>
    <x v="2"/>
    <m/>
    <m/>
    <m/>
    <m/>
    <m/>
    <m/>
    <m/>
    <s v="OK"/>
  </r>
  <r>
    <x v="169"/>
    <s v="Sunita"/>
    <x v="2"/>
    <x v="160"/>
    <x v="146"/>
    <n v="9713815464"/>
    <s v="kiran@company.com"/>
    <x v="169"/>
    <x v="4"/>
    <m/>
    <m/>
    <m/>
    <m/>
    <m/>
    <x v="15"/>
    <x v="2"/>
    <n v="138"/>
    <x v="51"/>
    <x v="1"/>
    <m/>
    <m/>
    <m/>
    <m/>
    <m/>
    <m/>
    <m/>
    <s v="OK"/>
  </r>
  <r>
    <x v="170"/>
    <s v="Suresh"/>
    <x v="2"/>
    <x v="161"/>
    <x v="147"/>
    <n v="9882599569"/>
    <s v="sunita@company.com"/>
    <x v="170"/>
    <x v="4"/>
    <m/>
    <m/>
    <m/>
    <m/>
    <m/>
    <x v="11"/>
    <x v="1"/>
    <n v="1296"/>
    <x v="21"/>
    <x v="0"/>
    <m/>
    <m/>
    <m/>
    <m/>
    <m/>
    <m/>
    <m/>
    <s v="OK"/>
  </r>
  <r>
    <x v="171"/>
    <s v="Suresh"/>
    <x v="0"/>
    <x v="162"/>
    <x v="148"/>
    <n v="9671338855"/>
    <s v="vikas@company.com"/>
    <x v="171"/>
    <x v="4"/>
    <m/>
    <m/>
    <m/>
    <m/>
    <m/>
    <x v="5"/>
    <x v="0"/>
    <n v="210"/>
    <x v="9"/>
    <x v="1"/>
    <m/>
    <m/>
    <m/>
    <m/>
    <m/>
    <m/>
    <m/>
    <s v="OK"/>
  </r>
  <r>
    <x v="172"/>
    <s v="Ravi"/>
    <x v="0"/>
    <x v="163"/>
    <x v="45"/>
    <n v="9392957920"/>
    <s v="kiran@company.com"/>
    <x v="172"/>
    <x v="2"/>
    <m/>
    <m/>
    <m/>
    <m/>
    <m/>
    <x v="18"/>
    <x v="2"/>
    <n v="572"/>
    <x v="49"/>
    <x v="2"/>
    <m/>
    <m/>
    <m/>
    <m/>
    <m/>
    <m/>
    <m/>
    <s v="CHECK"/>
  </r>
  <r>
    <x v="173"/>
    <s v="Ankit"/>
    <x v="3"/>
    <x v="164"/>
    <x v="149"/>
    <n v="9555201280"/>
    <s v="kiran@company.com"/>
    <x v="173"/>
    <x v="1"/>
    <m/>
    <m/>
    <m/>
    <m/>
    <m/>
    <x v="17"/>
    <x v="2"/>
    <n v="1180"/>
    <x v="42"/>
    <x v="0"/>
    <m/>
    <m/>
    <m/>
    <m/>
    <m/>
    <m/>
    <m/>
    <s v="OK"/>
  </r>
  <r>
    <x v="174"/>
    <s v="Suresh"/>
    <x v="1"/>
    <x v="165"/>
    <x v="6"/>
    <n v="9345225931"/>
    <s v="amit@company.com"/>
    <x v="174"/>
    <x v="3"/>
    <m/>
    <m/>
    <m/>
    <m/>
    <m/>
    <x v="1"/>
    <x v="0"/>
    <n v="2497"/>
    <x v="56"/>
    <x v="6"/>
    <m/>
    <m/>
    <m/>
    <m/>
    <m/>
    <m/>
    <m/>
    <s v="OK"/>
  </r>
  <r>
    <x v="175"/>
    <s v="Pooja"/>
    <x v="2"/>
    <x v="166"/>
    <x v="150"/>
    <n v="9480254634"/>
    <s v="kiran@gmail.com"/>
    <x v="175"/>
    <x v="2"/>
    <m/>
    <m/>
    <m/>
    <m/>
    <m/>
    <x v="5"/>
    <x v="2"/>
    <n v="1466"/>
    <x v="46"/>
    <x v="3"/>
    <m/>
    <m/>
    <m/>
    <m/>
    <m/>
    <m/>
    <m/>
    <s v="OK"/>
  </r>
  <r>
    <x v="176"/>
    <s v="Suresh"/>
    <x v="0"/>
    <x v="140"/>
    <x v="151"/>
    <n v="9365764880"/>
    <s v="ankit@company.com"/>
    <x v="176"/>
    <x v="3"/>
    <m/>
    <m/>
    <m/>
    <m/>
    <m/>
    <x v="24"/>
    <x v="2"/>
    <n v="247"/>
    <x v="12"/>
    <x v="1"/>
    <m/>
    <m/>
    <m/>
    <m/>
    <m/>
    <m/>
    <m/>
    <s v="OK"/>
  </r>
  <r>
    <x v="177"/>
    <s v="Ravi"/>
    <x v="3"/>
    <x v="167"/>
    <x v="152"/>
    <n v="9615778785"/>
    <s v="sunita@company.com"/>
    <x v="177"/>
    <x v="4"/>
    <m/>
    <m/>
    <m/>
    <m/>
    <m/>
    <x v="0"/>
    <x v="0"/>
    <n v="553"/>
    <x v="49"/>
    <x v="2"/>
    <m/>
    <m/>
    <m/>
    <m/>
    <m/>
    <m/>
    <m/>
    <s v="OK"/>
  </r>
  <r>
    <x v="178"/>
    <s v="Suresh"/>
    <x v="2"/>
    <x v="168"/>
    <x v="153"/>
    <n v="9292439596"/>
    <s v="sunita@company.com"/>
    <x v="178"/>
    <x v="2"/>
    <m/>
    <m/>
    <m/>
    <m/>
    <m/>
    <x v="14"/>
    <x v="0"/>
    <n v="948"/>
    <x v="52"/>
    <x v="4"/>
    <m/>
    <m/>
    <m/>
    <m/>
    <m/>
    <m/>
    <m/>
    <s v="OK"/>
  </r>
  <r>
    <x v="179"/>
    <s v="Pooja"/>
    <x v="2"/>
    <x v="169"/>
    <x v="154"/>
    <n v="9736406232"/>
    <s v="rahul@company.com"/>
    <x v="179"/>
    <x v="4"/>
    <m/>
    <m/>
    <m/>
    <m/>
    <m/>
    <x v="6"/>
    <x v="1"/>
    <n v="339"/>
    <x v="55"/>
    <x v="1"/>
    <m/>
    <m/>
    <m/>
    <m/>
    <m/>
    <m/>
    <m/>
    <s v="OK"/>
  </r>
  <r>
    <x v="180"/>
    <s v="Pooja"/>
    <x v="2"/>
    <x v="170"/>
    <x v="15"/>
    <n v="9102329174"/>
    <s v="neha@company.com"/>
    <x v="180"/>
    <x v="3"/>
    <m/>
    <m/>
    <m/>
    <m/>
    <m/>
    <x v="11"/>
    <x v="2"/>
    <n v="766"/>
    <x v="32"/>
    <x v="4"/>
    <m/>
    <m/>
    <m/>
    <m/>
    <m/>
    <m/>
    <m/>
    <s v="OK"/>
  </r>
  <r>
    <x v="181"/>
    <s v="Vikas"/>
    <x v="1"/>
    <x v="171"/>
    <x v="6"/>
    <n v="9592980904"/>
    <s v="amit@company.com"/>
    <x v="181"/>
    <x v="1"/>
    <m/>
    <m/>
    <m/>
    <m/>
    <m/>
    <x v="8"/>
    <x v="0"/>
    <n v="1077"/>
    <x v="23"/>
    <x v="4"/>
    <m/>
    <m/>
    <m/>
    <m/>
    <m/>
    <m/>
    <m/>
    <s v="OK"/>
  </r>
  <r>
    <x v="182"/>
    <s v="Suresh"/>
    <x v="1"/>
    <x v="172"/>
    <x v="155"/>
    <n v="9542862874"/>
    <s v="neha@company.com"/>
    <x v="182"/>
    <x v="0"/>
    <m/>
    <m/>
    <m/>
    <m/>
    <m/>
    <x v="16"/>
    <x v="2"/>
    <n v="654"/>
    <x v="39"/>
    <x v="2"/>
    <m/>
    <m/>
    <m/>
    <m/>
    <m/>
    <m/>
    <m/>
    <s v="OK"/>
  </r>
  <r>
    <x v="183"/>
    <s v="Kiran"/>
    <x v="3"/>
    <x v="173"/>
    <x v="156"/>
    <n v="9966692429"/>
    <s v="ravi@gmail.com"/>
    <x v="183"/>
    <x v="3"/>
    <m/>
    <m/>
    <m/>
    <m/>
    <m/>
    <x v="10"/>
    <x v="0"/>
    <n v="192"/>
    <x v="9"/>
    <x v="1"/>
    <m/>
    <m/>
    <m/>
    <m/>
    <m/>
    <m/>
    <m/>
    <s v="OK"/>
  </r>
  <r>
    <x v="184"/>
    <s v="Suresh"/>
    <x v="0"/>
    <x v="174"/>
    <x v="157"/>
    <n v="9587657981"/>
    <s v="kiran@company.com"/>
    <x v="184"/>
    <x v="0"/>
    <m/>
    <m/>
    <m/>
    <m/>
    <m/>
    <x v="8"/>
    <x v="0"/>
    <n v="557"/>
    <x v="49"/>
    <x v="2"/>
    <m/>
    <m/>
    <m/>
    <m/>
    <m/>
    <m/>
    <m/>
    <s v="OK"/>
  </r>
  <r>
    <x v="185"/>
    <s v="Sunita"/>
    <x v="1"/>
    <x v="175"/>
    <x v="158"/>
    <n v="9857287905"/>
    <s v="vikas@company.com"/>
    <x v="185"/>
    <x v="3"/>
    <m/>
    <m/>
    <m/>
    <m/>
    <m/>
    <x v="17"/>
    <x v="1"/>
    <n v="180"/>
    <x v="4"/>
    <x v="1"/>
    <m/>
    <m/>
    <m/>
    <m/>
    <m/>
    <m/>
    <m/>
    <s v="OK"/>
  </r>
  <r>
    <x v="186"/>
    <s v="Ravi"/>
    <x v="3"/>
    <x v="176"/>
    <x v="159"/>
    <n v="9897739043"/>
    <s v="pooja@company.com"/>
    <x v="186"/>
    <x v="1"/>
    <m/>
    <m/>
    <m/>
    <m/>
    <m/>
    <x v="7"/>
    <x v="0"/>
    <n v="311"/>
    <x v="57"/>
    <x v="1"/>
    <m/>
    <m/>
    <m/>
    <m/>
    <m/>
    <m/>
    <m/>
    <s v="OK"/>
  </r>
  <r>
    <x v="187"/>
    <s v="Sunita"/>
    <x v="3"/>
    <x v="177"/>
    <x v="160"/>
    <n v="9715834204"/>
    <s v="suresh@company.com"/>
    <x v="187"/>
    <x v="3"/>
    <m/>
    <m/>
    <m/>
    <m/>
    <m/>
    <x v="24"/>
    <x v="0"/>
    <n v="1431"/>
    <x v="33"/>
    <x v="0"/>
    <m/>
    <m/>
    <m/>
    <m/>
    <m/>
    <m/>
    <m/>
    <s v="OK"/>
  </r>
  <r>
    <x v="188"/>
    <s v="Kiran"/>
    <x v="1"/>
    <x v="178"/>
    <x v="6"/>
    <n v="9774649033"/>
    <s v="suresh@company.com"/>
    <x v="188"/>
    <x v="1"/>
    <m/>
    <m/>
    <m/>
    <m/>
    <m/>
    <x v="17"/>
    <x v="0"/>
    <n v="1305"/>
    <x v="21"/>
    <x v="0"/>
    <m/>
    <m/>
    <m/>
    <m/>
    <m/>
    <m/>
    <m/>
    <s v="OK"/>
  </r>
  <r>
    <x v="189"/>
    <s v="Vikas"/>
    <x v="1"/>
    <x v="179"/>
    <x v="161"/>
    <n v="9263087696"/>
    <s v="kiran@company.com"/>
    <x v="189"/>
    <x v="3"/>
    <m/>
    <m/>
    <m/>
    <m/>
    <m/>
    <x v="8"/>
    <x v="2"/>
    <n v="507"/>
    <x v="2"/>
    <x v="2"/>
    <m/>
    <m/>
    <m/>
    <m/>
    <m/>
    <m/>
    <m/>
    <s v="OK"/>
  </r>
  <r>
    <x v="190"/>
    <s v="Rahul"/>
    <x v="2"/>
    <x v="180"/>
    <x v="162"/>
    <n v="9574537698"/>
    <s v="pooja@company.com"/>
    <x v="190"/>
    <x v="4"/>
    <m/>
    <m/>
    <m/>
    <m/>
    <m/>
    <x v="22"/>
    <x v="0"/>
    <n v="457"/>
    <x v="30"/>
    <x v="2"/>
    <m/>
    <m/>
    <m/>
    <m/>
    <m/>
    <m/>
    <m/>
    <s v="OK"/>
  </r>
  <r>
    <x v="191"/>
    <s v="Sunita"/>
    <x v="0"/>
    <x v="181"/>
    <x v="163"/>
    <n v="9944268957"/>
    <s v="amit@gmail.com"/>
    <x v="191"/>
    <x v="3"/>
    <m/>
    <m/>
    <m/>
    <m/>
    <m/>
    <x v="9"/>
    <x v="2"/>
    <n v="178"/>
    <x v="4"/>
    <x v="1"/>
    <m/>
    <m/>
    <m/>
    <m/>
    <m/>
    <m/>
    <m/>
    <s v="OK"/>
  </r>
  <r>
    <x v="192"/>
    <s v="Pooja"/>
    <x v="1"/>
    <x v="182"/>
    <x v="164"/>
    <n v="9859883779"/>
    <s v="ankit@company.com"/>
    <x v="192"/>
    <x v="1"/>
    <m/>
    <m/>
    <m/>
    <m/>
    <m/>
    <x v="8"/>
    <x v="0"/>
    <n v="984"/>
    <x v="25"/>
    <x v="4"/>
    <m/>
    <m/>
    <m/>
    <m/>
    <m/>
    <m/>
    <m/>
    <s v="OK"/>
  </r>
  <r>
    <x v="193"/>
    <s v="Suresh"/>
    <x v="0"/>
    <x v="183"/>
    <x v="165"/>
    <n v="9354615373"/>
    <s v="rahul@company.com"/>
    <x v="193"/>
    <x v="3"/>
    <m/>
    <m/>
    <m/>
    <m/>
    <m/>
    <x v="18"/>
    <x v="0"/>
    <n v="1123"/>
    <x v="13"/>
    <x v="0"/>
    <m/>
    <m/>
    <m/>
    <m/>
    <m/>
    <m/>
    <m/>
    <s v="OK"/>
  </r>
  <r>
    <x v="194"/>
    <s v="Pooja"/>
    <x v="0"/>
    <x v="123"/>
    <x v="166"/>
    <n v="9746308252"/>
    <s v="kiran@company.com"/>
    <x v="194"/>
    <x v="1"/>
    <m/>
    <m/>
    <m/>
    <m/>
    <m/>
    <x v="11"/>
    <x v="2"/>
    <n v="679"/>
    <x v="17"/>
    <x v="2"/>
    <m/>
    <m/>
    <m/>
    <m/>
    <m/>
    <m/>
    <m/>
    <s v="OK"/>
  </r>
  <r>
    <x v="195"/>
    <s v="Kiran"/>
    <x v="3"/>
    <x v="184"/>
    <x v="6"/>
    <n v="9463899766"/>
    <s v="sunita@company.com"/>
    <x v="195"/>
    <x v="4"/>
    <m/>
    <m/>
    <m/>
    <m/>
    <m/>
    <x v="0"/>
    <x v="2"/>
    <n v="860"/>
    <x v="24"/>
    <x v="4"/>
    <m/>
    <m/>
    <m/>
    <m/>
    <m/>
    <m/>
    <m/>
    <s v="OK"/>
  </r>
  <r>
    <x v="196"/>
    <s v="Sunita"/>
    <x v="0"/>
    <x v="185"/>
    <x v="167"/>
    <n v="9519758109"/>
    <s v="ravi@company.com"/>
    <x v="196"/>
    <x v="0"/>
    <m/>
    <m/>
    <m/>
    <m/>
    <m/>
    <x v="7"/>
    <x v="2"/>
    <n v="1389"/>
    <x v="3"/>
    <x v="0"/>
    <m/>
    <m/>
    <m/>
    <m/>
    <m/>
    <m/>
    <m/>
    <s v="OK"/>
  </r>
  <r>
    <x v="197"/>
    <s v="Neha"/>
    <x v="2"/>
    <x v="186"/>
    <x v="168"/>
    <n v="9880329186"/>
    <s v="pooja@company.com"/>
    <x v="197"/>
    <x v="0"/>
    <m/>
    <m/>
    <m/>
    <m/>
    <m/>
    <x v="19"/>
    <x v="1"/>
    <n v="878"/>
    <x v="24"/>
    <x v="4"/>
    <m/>
    <m/>
    <m/>
    <m/>
    <m/>
    <m/>
    <m/>
    <s v="OK"/>
  </r>
  <r>
    <x v="198"/>
    <s v="Rahul"/>
    <x v="0"/>
    <x v="187"/>
    <x v="169"/>
    <n v="9404972753"/>
    <s v="ankit@company.com"/>
    <x v="198"/>
    <x v="1"/>
    <m/>
    <m/>
    <m/>
    <m/>
    <m/>
    <x v="5"/>
    <x v="0"/>
    <n v="1431"/>
    <x v="33"/>
    <x v="0"/>
    <m/>
    <m/>
    <m/>
    <m/>
    <m/>
    <m/>
    <m/>
    <s v="OK"/>
  </r>
  <r>
    <x v="199"/>
    <s v="Sunita"/>
    <x v="3"/>
    <x v="188"/>
    <x v="170"/>
    <n v="9684580891"/>
    <s v="rahul@gmail.com"/>
    <x v="199"/>
    <x v="2"/>
    <m/>
    <m/>
    <m/>
    <m/>
    <m/>
    <x v="12"/>
    <x v="1"/>
    <n v="81"/>
    <x v="28"/>
    <x v="1"/>
    <m/>
    <m/>
    <m/>
    <m/>
    <m/>
    <m/>
    <m/>
    <s v="CHECK"/>
  </r>
  <r>
    <x v="200"/>
    <s v="Kiran"/>
    <x v="0"/>
    <x v="189"/>
    <x v="171"/>
    <n v="9289362180"/>
    <s v="rahul@company.com"/>
    <x v="200"/>
    <x v="3"/>
    <m/>
    <m/>
    <m/>
    <m/>
    <m/>
    <x v="11"/>
    <x v="2"/>
    <n v="1456"/>
    <x v="33"/>
    <x v="0"/>
    <m/>
    <m/>
    <m/>
    <m/>
    <m/>
    <m/>
    <m/>
    <s v="OK"/>
  </r>
  <r>
    <x v="201"/>
    <s v="Kiran"/>
    <x v="1"/>
    <x v="113"/>
    <x v="133"/>
    <n v="9668303688"/>
    <s v="pooja@company.com"/>
    <x v="201"/>
    <x v="2"/>
    <m/>
    <m/>
    <m/>
    <m/>
    <m/>
    <x v="11"/>
    <x v="1"/>
    <n v="990"/>
    <x v="25"/>
    <x v="4"/>
    <m/>
    <m/>
    <m/>
    <m/>
    <m/>
    <m/>
    <m/>
    <s v="OK"/>
  </r>
  <r>
    <x v="202"/>
    <s v="Pooja"/>
    <x v="3"/>
    <x v="190"/>
    <x v="6"/>
    <n v="9271542988"/>
    <s v="pooja@company.com"/>
    <x v="202"/>
    <x v="4"/>
    <m/>
    <m/>
    <m/>
    <m/>
    <m/>
    <x v="9"/>
    <x v="2"/>
    <n v="2535"/>
    <x v="58"/>
    <x v="6"/>
    <m/>
    <m/>
    <m/>
    <m/>
    <m/>
    <m/>
    <m/>
    <s v="OK"/>
  </r>
  <r>
    <x v="203"/>
    <s v="Rahul"/>
    <x v="2"/>
    <x v="191"/>
    <x v="172"/>
    <n v="9157462398"/>
    <s v="vikas@company.com"/>
    <x v="203"/>
    <x v="2"/>
    <m/>
    <m/>
    <m/>
    <m/>
    <m/>
    <x v="22"/>
    <x v="0"/>
    <n v="561"/>
    <x v="49"/>
    <x v="2"/>
    <m/>
    <m/>
    <m/>
    <m/>
    <m/>
    <m/>
    <m/>
    <s v="CHECK"/>
  </r>
  <r>
    <x v="204"/>
    <s v="Vikas"/>
    <x v="0"/>
    <x v="192"/>
    <x v="173"/>
    <n v="9898723546"/>
    <s v="sunita@company.com"/>
    <x v="204"/>
    <x v="1"/>
    <m/>
    <m/>
    <m/>
    <m/>
    <m/>
    <x v="19"/>
    <x v="2"/>
    <n v="769"/>
    <x v="32"/>
    <x v="4"/>
    <m/>
    <m/>
    <m/>
    <m/>
    <m/>
    <m/>
    <m/>
    <s v="OK"/>
  </r>
  <r>
    <x v="205"/>
    <s v="Amit"/>
    <x v="0"/>
    <x v="193"/>
    <x v="174"/>
    <n v="9934554759"/>
    <s v="vikas@company.com"/>
    <x v="205"/>
    <x v="2"/>
    <m/>
    <m/>
    <m/>
    <m/>
    <m/>
    <x v="7"/>
    <x v="0"/>
    <n v="342"/>
    <x v="55"/>
    <x v="1"/>
    <m/>
    <m/>
    <m/>
    <m/>
    <m/>
    <m/>
    <m/>
    <s v="CHECK"/>
  </r>
  <r>
    <x v="206"/>
    <s v="Ankit"/>
    <x v="2"/>
    <x v="194"/>
    <x v="175"/>
    <n v="9375991392"/>
    <s v="suresh@company.com"/>
    <x v="206"/>
    <x v="1"/>
    <m/>
    <m/>
    <m/>
    <m/>
    <m/>
    <x v="7"/>
    <x v="2"/>
    <n v="143"/>
    <x v="51"/>
    <x v="1"/>
    <m/>
    <m/>
    <m/>
    <m/>
    <m/>
    <m/>
    <m/>
    <s v="OK"/>
  </r>
  <r>
    <x v="207"/>
    <s v="Ravi"/>
    <x v="2"/>
    <x v="195"/>
    <x v="176"/>
    <n v="9831564684"/>
    <s v="ankit@gmail.com"/>
    <x v="207"/>
    <x v="1"/>
    <m/>
    <m/>
    <m/>
    <m/>
    <m/>
    <x v="21"/>
    <x v="0"/>
    <n v="879"/>
    <x v="24"/>
    <x v="4"/>
    <m/>
    <m/>
    <m/>
    <m/>
    <m/>
    <m/>
    <m/>
    <s v="OK"/>
  </r>
  <r>
    <x v="208"/>
    <s v="Sunita"/>
    <x v="3"/>
    <x v="196"/>
    <x v="177"/>
    <n v="9703749598"/>
    <s v="ravi@company.com"/>
    <x v="208"/>
    <x v="4"/>
    <m/>
    <m/>
    <m/>
    <m/>
    <m/>
    <x v="7"/>
    <x v="2"/>
    <n v="897"/>
    <x v="7"/>
    <x v="4"/>
    <m/>
    <m/>
    <m/>
    <m/>
    <m/>
    <m/>
    <m/>
    <s v="OK"/>
  </r>
  <r>
    <x v="209"/>
    <s v="Suresh"/>
    <x v="2"/>
    <x v="197"/>
    <x v="6"/>
    <n v="9702606522"/>
    <s v="rahul@company.com"/>
    <x v="209"/>
    <x v="1"/>
    <m/>
    <m/>
    <m/>
    <m/>
    <m/>
    <x v="12"/>
    <x v="2"/>
    <n v="1138"/>
    <x v="0"/>
    <x v="0"/>
    <m/>
    <m/>
    <m/>
    <m/>
    <m/>
    <m/>
    <m/>
    <s v="OK"/>
  </r>
  <r>
    <x v="210"/>
    <s v="Suresh"/>
    <x v="3"/>
    <x v="198"/>
    <x v="178"/>
    <n v="9221007941"/>
    <s v="suresh@company.com"/>
    <x v="210"/>
    <x v="2"/>
    <m/>
    <m/>
    <m/>
    <m/>
    <m/>
    <x v="9"/>
    <x v="0"/>
    <n v="525"/>
    <x v="15"/>
    <x v="2"/>
    <m/>
    <m/>
    <m/>
    <m/>
    <m/>
    <m/>
    <m/>
    <s v="CHECK"/>
  </r>
  <r>
    <x v="211"/>
    <s v="Suresh"/>
    <x v="0"/>
    <x v="199"/>
    <x v="179"/>
    <n v="9299936221"/>
    <s v="suresh@company.com"/>
    <x v="211"/>
    <x v="3"/>
    <m/>
    <m/>
    <m/>
    <m/>
    <m/>
    <x v="4"/>
    <x v="2"/>
    <n v="576"/>
    <x v="49"/>
    <x v="2"/>
    <m/>
    <m/>
    <m/>
    <m/>
    <m/>
    <m/>
    <m/>
    <s v="OK"/>
  </r>
  <r>
    <x v="212"/>
    <s v="Rahul"/>
    <x v="1"/>
    <x v="200"/>
    <x v="180"/>
    <n v="9390513140"/>
    <s v="pooja@company.com"/>
    <x v="212"/>
    <x v="1"/>
    <m/>
    <m/>
    <m/>
    <m/>
    <m/>
    <x v="22"/>
    <x v="2"/>
    <n v="1180"/>
    <x v="42"/>
    <x v="0"/>
    <m/>
    <m/>
    <m/>
    <m/>
    <m/>
    <m/>
    <m/>
    <s v="OK"/>
  </r>
  <r>
    <x v="213"/>
    <s v="Suresh"/>
    <x v="0"/>
    <x v="201"/>
    <x v="181"/>
    <n v="9638614637"/>
    <s v="ravi@company.com"/>
    <x v="213"/>
    <x v="1"/>
    <m/>
    <m/>
    <m/>
    <m/>
    <m/>
    <x v="10"/>
    <x v="1"/>
    <n v="435"/>
    <x v="34"/>
    <x v="2"/>
    <m/>
    <m/>
    <m/>
    <m/>
    <m/>
    <m/>
    <m/>
    <s v="OK"/>
  </r>
  <r>
    <x v="214"/>
    <s v="Kiran"/>
    <x v="3"/>
    <x v="202"/>
    <x v="182"/>
    <n v="9369495615"/>
    <s v="sunita@company.com"/>
    <x v="214"/>
    <x v="2"/>
    <m/>
    <m/>
    <m/>
    <m/>
    <m/>
    <x v="4"/>
    <x v="2"/>
    <n v="712"/>
    <x v="59"/>
    <x v="2"/>
    <m/>
    <m/>
    <m/>
    <m/>
    <m/>
    <m/>
    <m/>
    <s v="CHECK"/>
  </r>
  <r>
    <x v="215"/>
    <s v="Neha"/>
    <x v="1"/>
    <x v="203"/>
    <x v="183"/>
    <n v="9729153822"/>
    <s v="sunita@gmail.com"/>
    <x v="215"/>
    <x v="1"/>
    <m/>
    <m/>
    <m/>
    <m/>
    <m/>
    <x v="18"/>
    <x v="1"/>
    <n v="497"/>
    <x v="2"/>
    <x v="2"/>
    <m/>
    <m/>
    <m/>
    <m/>
    <m/>
    <m/>
    <m/>
    <s v="OK"/>
  </r>
  <r>
    <x v="216"/>
    <s v="Rahul"/>
    <x v="1"/>
    <x v="204"/>
    <x v="6"/>
    <n v="9706095652"/>
    <s v="kiran@company.com"/>
    <x v="216"/>
    <x v="3"/>
    <m/>
    <m/>
    <m/>
    <m/>
    <m/>
    <x v="10"/>
    <x v="0"/>
    <n v="1281"/>
    <x v="21"/>
    <x v="0"/>
    <m/>
    <m/>
    <m/>
    <m/>
    <m/>
    <m/>
    <m/>
    <s v="OK"/>
  </r>
  <r>
    <x v="217"/>
    <s v="Rahul"/>
    <x v="0"/>
    <x v="205"/>
    <x v="184"/>
    <n v="9945167466"/>
    <s v="pooja@company.com"/>
    <x v="217"/>
    <x v="2"/>
    <m/>
    <m/>
    <m/>
    <m/>
    <m/>
    <x v="1"/>
    <x v="2"/>
    <n v="375"/>
    <x v="45"/>
    <x v="2"/>
    <m/>
    <m/>
    <m/>
    <m/>
    <m/>
    <m/>
    <m/>
    <s v="CHECK"/>
  </r>
  <r>
    <x v="218"/>
    <s v="Rahul"/>
    <x v="3"/>
    <x v="206"/>
    <x v="185"/>
    <n v="9903535440"/>
    <s v="pooja@company.com"/>
    <x v="218"/>
    <x v="4"/>
    <m/>
    <m/>
    <m/>
    <m/>
    <m/>
    <x v="11"/>
    <x v="1"/>
    <n v="785"/>
    <x v="32"/>
    <x v="4"/>
    <m/>
    <m/>
    <m/>
    <m/>
    <m/>
    <m/>
    <m/>
    <s v="OK"/>
  </r>
  <r>
    <x v="219"/>
    <s v="Amit"/>
    <x v="0"/>
    <x v="207"/>
    <x v="186"/>
    <n v="9981794832"/>
    <s v="suresh@company.com"/>
    <x v="219"/>
    <x v="3"/>
    <m/>
    <m/>
    <m/>
    <m/>
    <m/>
    <x v="2"/>
    <x v="1"/>
    <n v="1453"/>
    <x v="33"/>
    <x v="0"/>
    <m/>
    <m/>
    <m/>
    <m/>
    <m/>
    <m/>
    <m/>
    <s v="OK"/>
  </r>
  <r>
    <x v="220"/>
    <s v="Kiran"/>
    <x v="0"/>
    <x v="208"/>
    <x v="187"/>
    <n v="9226092989"/>
    <s v="neha@company.com"/>
    <x v="220"/>
    <x v="1"/>
    <m/>
    <m/>
    <m/>
    <m/>
    <m/>
    <x v="10"/>
    <x v="0"/>
    <n v="675"/>
    <x v="17"/>
    <x v="2"/>
    <m/>
    <m/>
    <m/>
    <m/>
    <m/>
    <m/>
    <m/>
    <s v="OK"/>
  </r>
  <r>
    <x v="221"/>
    <s v="Rahul"/>
    <x v="0"/>
    <x v="209"/>
    <x v="188"/>
    <n v="9198283491"/>
    <s v="neha@company.com"/>
    <x v="221"/>
    <x v="1"/>
    <m/>
    <m/>
    <m/>
    <m/>
    <m/>
    <x v="15"/>
    <x v="2"/>
    <n v="1339"/>
    <x v="19"/>
    <x v="0"/>
    <m/>
    <m/>
    <m/>
    <m/>
    <m/>
    <m/>
    <m/>
    <s v="OK"/>
  </r>
  <r>
    <x v="222"/>
    <s v="Vikas"/>
    <x v="0"/>
    <x v="154"/>
    <x v="189"/>
    <n v="9865491174"/>
    <s v="ravi@company.com"/>
    <x v="222"/>
    <x v="3"/>
    <m/>
    <m/>
    <m/>
    <m/>
    <m/>
    <x v="17"/>
    <x v="1"/>
    <n v="581"/>
    <x v="8"/>
    <x v="2"/>
    <m/>
    <m/>
    <m/>
    <m/>
    <m/>
    <m/>
    <m/>
    <s v="OK"/>
  </r>
  <r>
    <x v="223"/>
    <s v="Ravi"/>
    <x v="0"/>
    <x v="210"/>
    <x v="6"/>
    <n v="9439336245"/>
    <s v="ravi@gmail.com"/>
    <x v="223"/>
    <x v="4"/>
    <m/>
    <m/>
    <m/>
    <m/>
    <m/>
    <x v="12"/>
    <x v="0"/>
    <n v="1340"/>
    <x v="6"/>
    <x v="0"/>
    <m/>
    <m/>
    <m/>
    <m/>
    <m/>
    <m/>
    <m/>
    <s v="OK"/>
  </r>
  <r>
    <x v="224"/>
    <s v="Vikas"/>
    <x v="3"/>
    <x v="211"/>
    <x v="190"/>
    <n v="9797845173"/>
    <s v="amit@company.com"/>
    <x v="224"/>
    <x v="2"/>
    <m/>
    <m/>
    <m/>
    <m/>
    <m/>
    <x v="18"/>
    <x v="1"/>
    <n v="1224"/>
    <x v="40"/>
    <x v="0"/>
    <m/>
    <m/>
    <m/>
    <m/>
    <m/>
    <m/>
    <m/>
    <s v="OK"/>
  </r>
  <r>
    <x v="225"/>
    <s v="Rahul"/>
    <x v="3"/>
    <x v="212"/>
    <x v="191"/>
    <n v="9376123788"/>
    <s v="sunita@company.com"/>
    <x v="225"/>
    <x v="2"/>
    <m/>
    <m/>
    <m/>
    <m/>
    <m/>
    <x v="24"/>
    <x v="2"/>
    <n v="770"/>
    <x v="32"/>
    <x v="4"/>
    <m/>
    <m/>
    <m/>
    <m/>
    <m/>
    <m/>
    <m/>
    <s v="OK"/>
  </r>
  <r>
    <x v="226"/>
    <s v="Suresh"/>
    <x v="0"/>
    <x v="213"/>
    <x v="192"/>
    <n v="9598329881"/>
    <s v="ankit@company.com"/>
    <x v="226"/>
    <x v="0"/>
    <m/>
    <m/>
    <m/>
    <m/>
    <m/>
    <x v="14"/>
    <x v="2"/>
    <n v="1039"/>
    <x v="31"/>
    <x v="4"/>
    <m/>
    <m/>
    <m/>
    <m/>
    <m/>
    <m/>
    <m/>
    <s v="OK"/>
  </r>
  <r>
    <x v="227"/>
    <s v="Ravi"/>
    <x v="2"/>
    <x v="214"/>
    <x v="193"/>
    <n v="9227030026"/>
    <s v="pooja@company.com"/>
    <x v="227"/>
    <x v="1"/>
    <m/>
    <m/>
    <m/>
    <m/>
    <m/>
    <x v="3"/>
    <x v="2"/>
    <n v="433"/>
    <x v="34"/>
    <x v="2"/>
    <m/>
    <m/>
    <m/>
    <m/>
    <m/>
    <m/>
    <m/>
    <s v="OK"/>
  </r>
  <r>
    <x v="228"/>
    <s v="Amit"/>
    <x v="0"/>
    <x v="110"/>
    <x v="194"/>
    <n v="9589917534"/>
    <s v="vikas@company.com"/>
    <x v="228"/>
    <x v="3"/>
    <m/>
    <m/>
    <m/>
    <m/>
    <m/>
    <x v="2"/>
    <x v="2"/>
    <n v="1352"/>
    <x v="19"/>
    <x v="0"/>
    <m/>
    <m/>
    <m/>
    <m/>
    <m/>
    <m/>
    <m/>
    <s v="OK"/>
  </r>
  <r>
    <x v="229"/>
    <s v="Pooja"/>
    <x v="2"/>
    <x v="215"/>
    <x v="195"/>
    <n v="9165150691"/>
    <s v="pooja@company.com"/>
    <x v="229"/>
    <x v="1"/>
    <m/>
    <m/>
    <m/>
    <m/>
    <m/>
    <x v="16"/>
    <x v="0"/>
    <n v="653"/>
    <x v="39"/>
    <x v="2"/>
    <m/>
    <m/>
    <m/>
    <m/>
    <m/>
    <m/>
    <m/>
    <s v="OK"/>
  </r>
  <r>
    <x v="230"/>
    <s v="Pooja"/>
    <x v="3"/>
    <x v="216"/>
    <x v="6"/>
    <n v="9719811303"/>
    <s v="suresh@company.com"/>
    <x v="230"/>
    <x v="1"/>
    <m/>
    <m/>
    <m/>
    <m/>
    <m/>
    <x v="1"/>
    <x v="2"/>
    <n v="1206"/>
    <x v="47"/>
    <x v="0"/>
    <m/>
    <m/>
    <m/>
    <m/>
    <m/>
    <m/>
    <m/>
    <s v="OK"/>
  </r>
  <r>
    <x v="231"/>
    <s v="Kiran"/>
    <x v="1"/>
    <x v="217"/>
    <x v="196"/>
    <n v="9269518242"/>
    <s v="sunita@gmail.com"/>
    <x v="231"/>
    <x v="1"/>
    <m/>
    <m/>
    <m/>
    <m/>
    <m/>
    <x v="10"/>
    <x v="1"/>
    <n v="589"/>
    <x v="8"/>
    <x v="2"/>
    <m/>
    <m/>
    <m/>
    <m/>
    <m/>
    <m/>
    <m/>
    <s v="OK"/>
  </r>
  <r>
    <x v="232"/>
    <s v="Rahul"/>
    <x v="2"/>
    <x v="218"/>
    <x v="197"/>
    <n v="9262628460"/>
    <s v="kiran@company.com"/>
    <x v="232"/>
    <x v="1"/>
    <m/>
    <m/>
    <m/>
    <m/>
    <m/>
    <x v="14"/>
    <x v="0"/>
    <n v="105"/>
    <x v="1"/>
    <x v="1"/>
    <m/>
    <m/>
    <m/>
    <m/>
    <m/>
    <m/>
    <m/>
    <s v="OK"/>
  </r>
  <r>
    <x v="233"/>
    <s v="Kiran"/>
    <x v="3"/>
    <x v="196"/>
    <x v="14"/>
    <n v="9919428717"/>
    <s v="amit@company.com"/>
    <x v="233"/>
    <x v="3"/>
    <m/>
    <m/>
    <m/>
    <m/>
    <m/>
    <x v="24"/>
    <x v="0"/>
    <n v="473"/>
    <x v="30"/>
    <x v="2"/>
    <m/>
    <m/>
    <m/>
    <m/>
    <m/>
    <m/>
    <m/>
    <s v="OK"/>
  </r>
  <r>
    <x v="234"/>
    <s v="Kiran"/>
    <x v="0"/>
    <x v="219"/>
    <x v="115"/>
    <n v="9575850438"/>
    <s v="sunita@company.com"/>
    <x v="234"/>
    <x v="1"/>
    <m/>
    <m/>
    <m/>
    <m/>
    <m/>
    <x v="3"/>
    <x v="2"/>
    <n v="354"/>
    <x v="55"/>
    <x v="1"/>
    <m/>
    <m/>
    <m/>
    <m/>
    <m/>
    <m/>
    <m/>
    <s v="OK"/>
  </r>
  <r>
    <x v="235"/>
    <s v="Neha"/>
    <x v="0"/>
    <x v="220"/>
    <x v="198"/>
    <n v="9529260603"/>
    <s v="neha@company.com"/>
    <x v="235"/>
    <x v="1"/>
    <m/>
    <m/>
    <m/>
    <m/>
    <m/>
    <x v="24"/>
    <x v="0"/>
    <n v="1035"/>
    <x v="31"/>
    <x v="4"/>
    <m/>
    <m/>
    <m/>
    <m/>
    <m/>
    <m/>
    <m/>
    <s v="OK"/>
  </r>
  <r>
    <x v="236"/>
    <s v="Amit"/>
    <x v="1"/>
    <x v="221"/>
    <x v="199"/>
    <n v="9946995714"/>
    <s v="rahul@company.com"/>
    <x v="236"/>
    <x v="4"/>
    <m/>
    <m/>
    <m/>
    <m/>
    <m/>
    <x v="6"/>
    <x v="2"/>
    <n v="787"/>
    <x v="32"/>
    <x v="4"/>
    <m/>
    <m/>
    <m/>
    <m/>
    <m/>
    <m/>
    <m/>
    <s v="OK"/>
  </r>
  <r>
    <x v="237"/>
    <s v="Pooja"/>
    <x v="0"/>
    <x v="222"/>
    <x v="6"/>
    <n v="9980313593"/>
    <s v="suresh@company.com"/>
    <x v="237"/>
    <x v="3"/>
    <m/>
    <m/>
    <m/>
    <m/>
    <m/>
    <x v="11"/>
    <x v="0"/>
    <n v="920"/>
    <x v="35"/>
    <x v="4"/>
    <m/>
    <m/>
    <m/>
    <m/>
    <m/>
    <m/>
    <m/>
    <s v="OK"/>
  </r>
  <r>
    <x v="238"/>
    <s v="Neha"/>
    <x v="3"/>
    <x v="223"/>
    <x v="200"/>
    <n v="9967016203"/>
    <s v="amit@company.com"/>
    <x v="238"/>
    <x v="1"/>
    <m/>
    <m/>
    <m/>
    <m/>
    <m/>
    <x v="24"/>
    <x v="0"/>
    <n v="1381"/>
    <x v="3"/>
    <x v="0"/>
    <m/>
    <m/>
    <m/>
    <m/>
    <m/>
    <m/>
    <m/>
    <s v="OK"/>
  </r>
  <r>
    <x v="239"/>
    <s v="Ravi"/>
    <x v="2"/>
    <x v="43"/>
    <x v="201"/>
    <n v="9235530722"/>
    <s v="amit@gmail.com"/>
    <x v="239"/>
    <x v="0"/>
    <m/>
    <m/>
    <m/>
    <m/>
    <m/>
    <x v="23"/>
    <x v="1"/>
    <n v="1157"/>
    <x v="42"/>
    <x v="0"/>
    <m/>
    <m/>
    <m/>
    <m/>
    <m/>
    <m/>
    <m/>
    <s v="OK"/>
  </r>
  <r>
    <x v="240"/>
    <s v="Ankit"/>
    <x v="1"/>
    <x v="224"/>
    <x v="202"/>
    <n v="9625628662"/>
    <s v="ravi@company.com"/>
    <x v="240"/>
    <x v="4"/>
    <m/>
    <m/>
    <m/>
    <m/>
    <m/>
    <x v="24"/>
    <x v="2"/>
    <n v="1132"/>
    <x v="0"/>
    <x v="0"/>
    <m/>
    <m/>
    <m/>
    <m/>
    <m/>
    <m/>
    <m/>
    <s v="OK"/>
  </r>
  <r>
    <x v="241"/>
    <s v="Rahul"/>
    <x v="3"/>
    <x v="225"/>
    <x v="203"/>
    <n v="9461669182"/>
    <s v="amit@company.com"/>
    <x v="241"/>
    <x v="3"/>
    <m/>
    <m/>
    <m/>
    <m/>
    <m/>
    <x v="15"/>
    <x v="0"/>
    <n v="149"/>
    <x v="51"/>
    <x v="1"/>
    <m/>
    <m/>
    <m/>
    <m/>
    <m/>
    <m/>
    <m/>
    <s v="OK"/>
  </r>
  <r>
    <x v="242"/>
    <s v="Suresh"/>
    <x v="3"/>
    <x v="226"/>
    <x v="204"/>
    <n v="9333268991"/>
    <s v="pooja@company.com"/>
    <x v="242"/>
    <x v="2"/>
    <m/>
    <m/>
    <m/>
    <m/>
    <m/>
    <x v="1"/>
    <x v="0"/>
    <n v="892"/>
    <x v="7"/>
    <x v="4"/>
    <m/>
    <m/>
    <m/>
    <m/>
    <m/>
    <m/>
    <m/>
    <s v="OK"/>
  </r>
  <r>
    <x v="243"/>
    <s v="Amit"/>
    <x v="1"/>
    <x v="227"/>
    <x v="205"/>
    <n v="9772750823"/>
    <s v="sunita@company.com"/>
    <x v="243"/>
    <x v="4"/>
    <m/>
    <m/>
    <m/>
    <m/>
    <m/>
    <x v="15"/>
    <x v="1"/>
    <n v="1288"/>
    <x v="21"/>
    <x v="0"/>
    <m/>
    <m/>
    <m/>
    <m/>
    <m/>
    <m/>
    <m/>
    <s v="OK"/>
  </r>
  <r>
    <x v="244"/>
    <s v="Ravi"/>
    <x v="1"/>
    <x v="228"/>
    <x v="6"/>
    <n v="9741945386"/>
    <s v="rahul@company.com"/>
    <x v="244"/>
    <x v="2"/>
    <m/>
    <m/>
    <m/>
    <m/>
    <m/>
    <x v="17"/>
    <x v="2"/>
    <n v="1034"/>
    <x v="14"/>
    <x v="4"/>
    <m/>
    <m/>
    <m/>
    <m/>
    <m/>
    <m/>
    <m/>
    <s v="OK"/>
  </r>
  <r>
    <x v="245"/>
    <s v="Suresh"/>
    <x v="1"/>
    <x v="229"/>
    <x v="22"/>
    <n v="9127901956"/>
    <s v="ravi@company.com"/>
    <x v="245"/>
    <x v="2"/>
    <m/>
    <m/>
    <m/>
    <m/>
    <m/>
    <x v="6"/>
    <x v="2"/>
    <n v="252"/>
    <x v="12"/>
    <x v="1"/>
    <m/>
    <m/>
    <m/>
    <m/>
    <m/>
    <m/>
    <m/>
    <s v="CHECK"/>
  </r>
  <r>
    <x v="246"/>
    <s v="Ankit"/>
    <x v="2"/>
    <x v="230"/>
    <x v="206"/>
    <n v="9276954601"/>
    <s v="kiran@company.com"/>
    <x v="246"/>
    <x v="3"/>
    <m/>
    <m/>
    <m/>
    <m/>
    <m/>
    <x v="5"/>
    <x v="0"/>
    <n v="1346"/>
    <x v="19"/>
    <x v="0"/>
    <m/>
    <m/>
    <m/>
    <m/>
    <m/>
    <m/>
    <m/>
    <s v="OK"/>
  </r>
  <r>
    <x v="247"/>
    <s v="Suresh"/>
    <x v="0"/>
    <x v="231"/>
    <x v="72"/>
    <n v="9345759044"/>
    <s v="amit@gmail.com"/>
    <x v="247"/>
    <x v="2"/>
    <m/>
    <m/>
    <m/>
    <m/>
    <m/>
    <x v="10"/>
    <x v="0"/>
    <n v="1497"/>
    <x v="60"/>
    <x v="3"/>
    <m/>
    <m/>
    <m/>
    <m/>
    <m/>
    <m/>
    <m/>
    <s v="OK"/>
  </r>
  <r>
    <x v="248"/>
    <s v="Suresh"/>
    <x v="2"/>
    <x v="232"/>
    <x v="207"/>
    <n v="9634577818"/>
    <s v="ankit@company.com"/>
    <x v="248"/>
    <x v="3"/>
    <m/>
    <m/>
    <m/>
    <m/>
    <m/>
    <x v="23"/>
    <x v="2"/>
    <n v="802"/>
    <x v="10"/>
    <x v="4"/>
    <m/>
    <m/>
    <m/>
    <m/>
    <m/>
    <m/>
    <m/>
    <s v="OK"/>
  </r>
  <r>
    <x v="249"/>
    <s v="Sunita"/>
    <x v="3"/>
    <x v="233"/>
    <x v="185"/>
    <n v="9339482228"/>
    <s v="amit@company.com"/>
    <x v="249"/>
    <x v="4"/>
    <m/>
    <m/>
    <m/>
    <m/>
    <m/>
    <x v="19"/>
    <x v="0"/>
    <n v="1011"/>
    <x v="14"/>
    <x v="4"/>
    <m/>
    <m/>
    <m/>
    <m/>
    <m/>
    <m/>
    <m/>
    <s v="OK"/>
  </r>
  <r>
    <x v="250"/>
    <s v="Rahul"/>
    <x v="1"/>
    <x v="234"/>
    <x v="208"/>
    <n v="9225478469"/>
    <s v="neha@company.com"/>
    <x v="250"/>
    <x v="4"/>
    <m/>
    <m/>
    <m/>
    <m/>
    <m/>
    <x v="8"/>
    <x v="2"/>
    <n v="332"/>
    <x v="57"/>
    <x v="1"/>
    <m/>
    <m/>
    <m/>
    <m/>
    <m/>
    <m/>
    <m/>
    <s v="OK"/>
  </r>
  <r>
    <x v="251"/>
    <s v="Kiran"/>
    <x v="2"/>
    <x v="235"/>
    <x v="6"/>
    <n v="9207471715"/>
    <s v="kiran@company.com"/>
    <x v="251"/>
    <x v="0"/>
    <m/>
    <m/>
    <m/>
    <m/>
    <m/>
    <x v="5"/>
    <x v="2"/>
    <n v="1404"/>
    <x v="22"/>
    <x v="0"/>
    <m/>
    <m/>
    <m/>
    <m/>
    <m/>
    <m/>
    <m/>
    <s v="OK"/>
  </r>
  <r>
    <x v="252"/>
    <s v="Amit"/>
    <x v="1"/>
    <x v="236"/>
    <x v="209"/>
    <n v="9539364305"/>
    <s v="sunita@company.com"/>
    <x v="252"/>
    <x v="3"/>
    <m/>
    <m/>
    <m/>
    <m/>
    <m/>
    <x v="6"/>
    <x v="2"/>
    <n v="1057"/>
    <x v="31"/>
    <x v="4"/>
    <m/>
    <m/>
    <m/>
    <m/>
    <m/>
    <m/>
    <m/>
    <s v="OK"/>
  </r>
  <r>
    <x v="253"/>
    <s v="Vikas"/>
    <x v="1"/>
    <x v="237"/>
    <x v="210"/>
    <n v="9263134069"/>
    <s v="ravi@company.com"/>
    <x v="253"/>
    <x v="2"/>
    <m/>
    <m/>
    <m/>
    <m/>
    <m/>
    <x v="4"/>
    <x v="2"/>
    <n v="414"/>
    <x v="48"/>
    <x v="2"/>
    <m/>
    <m/>
    <m/>
    <m/>
    <m/>
    <m/>
    <m/>
    <s v="CHECK"/>
  </r>
  <r>
    <x v="254"/>
    <s v="Ankit"/>
    <x v="3"/>
    <x v="238"/>
    <x v="211"/>
    <n v="9639325222"/>
    <s v="kiran@company.com"/>
    <x v="254"/>
    <x v="0"/>
    <m/>
    <m/>
    <m/>
    <m/>
    <m/>
    <x v="9"/>
    <x v="0"/>
    <n v="358"/>
    <x v="55"/>
    <x v="1"/>
    <m/>
    <m/>
    <m/>
    <m/>
    <m/>
    <m/>
    <m/>
    <s v="OK"/>
  </r>
  <r>
    <x v="255"/>
    <s v="Vikas"/>
    <x v="2"/>
    <x v="239"/>
    <x v="187"/>
    <n v="9453644712"/>
    <s v="neha@gmail.com"/>
    <x v="255"/>
    <x v="3"/>
    <m/>
    <m/>
    <m/>
    <m/>
    <m/>
    <x v="17"/>
    <x v="0"/>
    <n v="117"/>
    <x v="1"/>
    <x v="1"/>
    <m/>
    <m/>
    <m/>
    <m/>
    <m/>
    <m/>
    <m/>
    <s v="OK"/>
  </r>
  <r>
    <x v="256"/>
    <s v="Suresh"/>
    <x v="2"/>
    <x v="240"/>
    <x v="212"/>
    <n v="9121664005"/>
    <s v="vikas@company.com"/>
    <x v="256"/>
    <x v="0"/>
    <m/>
    <m/>
    <m/>
    <m/>
    <m/>
    <x v="23"/>
    <x v="0"/>
    <n v="620"/>
    <x v="26"/>
    <x v="2"/>
    <m/>
    <m/>
    <m/>
    <m/>
    <m/>
    <m/>
    <m/>
    <s v="OK"/>
  </r>
  <r>
    <x v="257"/>
    <s v="Pooja"/>
    <x v="2"/>
    <x v="241"/>
    <x v="213"/>
    <n v="9545536550"/>
    <s v="neha@company.com"/>
    <x v="257"/>
    <x v="3"/>
    <m/>
    <m/>
    <m/>
    <m/>
    <m/>
    <x v="8"/>
    <x v="2"/>
    <n v="160"/>
    <x v="4"/>
    <x v="1"/>
    <m/>
    <m/>
    <m/>
    <m/>
    <m/>
    <m/>
    <m/>
    <s v="OK"/>
  </r>
  <r>
    <x v="258"/>
    <s v="Amit"/>
    <x v="0"/>
    <x v="242"/>
    <x v="6"/>
    <n v="9219444430"/>
    <s v="ravi@company.com"/>
    <x v="258"/>
    <x v="4"/>
    <m/>
    <m/>
    <m/>
    <m/>
    <m/>
    <x v="21"/>
    <x v="2"/>
    <n v="2451"/>
    <x v="61"/>
    <x v="6"/>
    <m/>
    <m/>
    <m/>
    <m/>
    <m/>
    <m/>
    <m/>
    <s v="OK"/>
  </r>
  <r>
    <x v="259"/>
    <s v="Rahul"/>
    <x v="3"/>
    <x v="243"/>
    <x v="214"/>
    <n v="9547907506"/>
    <s v="amit@company.com"/>
    <x v="259"/>
    <x v="0"/>
    <m/>
    <m/>
    <m/>
    <m/>
    <m/>
    <x v="24"/>
    <x v="2"/>
    <n v="422"/>
    <x v="48"/>
    <x v="2"/>
    <m/>
    <m/>
    <m/>
    <m/>
    <m/>
    <m/>
    <m/>
    <s v="OK"/>
  </r>
  <r>
    <x v="260"/>
    <s v="Pooja"/>
    <x v="1"/>
    <x v="244"/>
    <x v="215"/>
    <n v="9243459412"/>
    <s v="kiran@company.com"/>
    <x v="260"/>
    <x v="1"/>
    <m/>
    <m/>
    <m/>
    <m/>
    <m/>
    <x v="14"/>
    <x v="2"/>
    <n v="185"/>
    <x v="9"/>
    <x v="1"/>
    <m/>
    <m/>
    <m/>
    <m/>
    <m/>
    <m/>
    <m/>
    <s v="OK"/>
  </r>
  <r>
    <x v="261"/>
    <s v="Kiran"/>
    <x v="2"/>
    <x v="245"/>
    <x v="216"/>
    <n v="9170357493"/>
    <s v="vikas@company.com"/>
    <x v="261"/>
    <x v="3"/>
    <m/>
    <m/>
    <m/>
    <m/>
    <m/>
    <x v="17"/>
    <x v="2"/>
    <n v="171"/>
    <x v="4"/>
    <x v="1"/>
    <m/>
    <m/>
    <m/>
    <m/>
    <m/>
    <m/>
    <m/>
    <s v="OK"/>
  </r>
  <r>
    <x v="262"/>
    <s v="Amit"/>
    <x v="0"/>
    <x v="246"/>
    <x v="217"/>
    <n v="9659112338"/>
    <s v="sunita@company.com"/>
    <x v="262"/>
    <x v="4"/>
    <m/>
    <m/>
    <m/>
    <m/>
    <m/>
    <x v="7"/>
    <x v="2"/>
    <n v="813"/>
    <x v="10"/>
    <x v="4"/>
    <m/>
    <m/>
    <m/>
    <m/>
    <m/>
    <m/>
    <m/>
    <s v="OK"/>
  </r>
  <r>
    <x v="263"/>
    <s v="Vikas"/>
    <x v="0"/>
    <x v="219"/>
    <x v="218"/>
    <n v="9547323453"/>
    <s v="neha@gmail.com"/>
    <x v="263"/>
    <x v="1"/>
    <m/>
    <m/>
    <m/>
    <m/>
    <m/>
    <x v="9"/>
    <x v="0"/>
    <n v="541"/>
    <x v="15"/>
    <x v="2"/>
    <m/>
    <m/>
    <m/>
    <m/>
    <m/>
    <m/>
    <m/>
    <s v="OK"/>
  </r>
  <r>
    <x v="264"/>
    <s v="Kiran"/>
    <x v="3"/>
    <x v="247"/>
    <x v="219"/>
    <n v="9398242601"/>
    <s v="rahul@company.com"/>
    <x v="264"/>
    <x v="3"/>
    <m/>
    <m/>
    <m/>
    <m/>
    <m/>
    <x v="13"/>
    <x v="0"/>
    <n v="402"/>
    <x v="48"/>
    <x v="2"/>
    <m/>
    <m/>
    <m/>
    <m/>
    <m/>
    <m/>
    <m/>
    <s v="OK"/>
  </r>
  <r>
    <x v="265"/>
    <s v="Rahul"/>
    <x v="1"/>
    <x v="248"/>
    <x v="6"/>
    <n v="9144572697"/>
    <s v="kiran@company.com"/>
    <x v="265"/>
    <x v="3"/>
    <m/>
    <m/>
    <m/>
    <m/>
    <m/>
    <x v="10"/>
    <x v="0"/>
    <n v="760"/>
    <x v="27"/>
    <x v="4"/>
    <m/>
    <m/>
    <m/>
    <m/>
    <m/>
    <m/>
    <m/>
    <s v="OK"/>
  </r>
  <r>
    <x v="266"/>
    <s v="Ravi"/>
    <x v="1"/>
    <x v="249"/>
    <x v="220"/>
    <n v="9256992818"/>
    <s v="ravi@company.com"/>
    <x v="266"/>
    <x v="1"/>
    <m/>
    <m/>
    <m/>
    <m/>
    <m/>
    <x v="22"/>
    <x v="1"/>
    <n v="1354"/>
    <x v="19"/>
    <x v="0"/>
    <m/>
    <m/>
    <m/>
    <m/>
    <m/>
    <m/>
    <m/>
    <s v="OK"/>
  </r>
  <r>
    <x v="267"/>
    <s v="Sunita"/>
    <x v="1"/>
    <x v="225"/>
    <x v="221"/>
    <n v="9519641627"/>
    <s v="ravi@company.com"/>
    <x v="267"/>
    <x v="1"/>
    <m/>
    <m/>
    <m/>
    <m/>
    <m/>
    <x v="11"/>
    <x v="1"/>
    <n v="512"/>
    <x v="2"/>
    <x v="2"/>
    <m/>
    <m/>
    <m/>
    <m/>
    <m/>
    <m/>
    <m/>
    <s v="OK"/>
  </r>
  <r>
    <x v="268"/>
    <s v="Ravi"/>
    <x v="1"/>
    <x v="250"/>
    <x v="222"/>
    <n v="9487720969"/>
    <s v="kiran@company.com"/>
    <x v="268"/>
    <x v="3"/>
    <m/>
    <m/>
    <m/>
    <m/>
    <m/>
    <x v="0"/>
    <x v="0"/>
    <n v="986"/>
    <x v="25"/>
    <x v="4"/>
    <m/>
    <m/>
    <m/>
    <m/>
    <m/>
    <m/>
    <m/>
    <s v="OK"/>
  </r>
  <r>
    <x v="269"/>
    <s v="Amit"/>
    <x v="0"/>
    <x v="251"/>
    <x v="223"/>
    <n v="9803488137"/>
    <s v="amit@company.com"/>
    <x v="269"/>
    <x v="2"/>
    <m/>
    <m/>
    <m/>
    <m/>
    <m/>
    <x v="24"/>
    <x v="0"/>
    <n v="61"/>
    <x v="28"/>
    <x v="1"/>
    <m/>
    <m/>
    <m/>
    <m/>
    <m/>
    <m/>
    <m/>
    <s v="CHECK"/>
  </r>
  <r>
    <x v="270"/>
    <s v="Ankit"/>
    <x v="1"/>
    <x v="252"/>
    <x v="224"/>
    <n v="9782240471"/>
    <s v="neha@company.com"/>
    <x v="270"/>
    <x v="4"/>
    <m/>
    <m/>
    <m/>
    <m/>
    <m/>
    <x v="4"/>
    <x v="1"/>
    <n v="1368"/>
    <x v="19"/>
    <x v="0"/>
    <m/>
    <m/>
    <m/>
    <m/>
    <m/>
    <m/>
    <m/>
    <s v="OK"/>
  </r>
  <r>
    <x v="271"/>
    <s v="Kiran"/>
    <x v="3"/>
    <x v="253"/>
    <x v="225"/>
    <n v="9533952020"/>
    <s v="sunita@gmail.com"/>
    <x v="271"/>
    <x v="0"/>
    <m/>
    <m/>
    <m/>
    <m/>
    <m/>
    <x v="9"/>
    <x v="2"/>
    <n v="231"/>
    <x v="62"/>
    <x v="1"/>
    <m/>
    <m/>
    <m/>
    <m/>
    <m/>
    <m/>
    <m/>
    <s v="OK"/>
  </r>
  <r>
    <x v="272"/>
    <s v="Neha"/>
    <x v="1"/>
    <x v="113"/>
    <x v="6"/>
    <n v="9587259041"/>
    <s v="amit@company.com"/>
    <x v="272"/>
    <x v="2"/>
    <m/>
    <m/>
    <m/>
    <m/>
    <m/>
    <x v="24"/>
    <x v="0"/>
    <n v="1459"/>
    <x v="33"/>
    <x v="0"/>
    <m/>
    <m/>
    <m/>
    <m/>
    <m/>
    <m/>
    <m/>
    <s v="OK"/>
  </r>
  <r>
    <x v="273"/>
    <s v="Pooja"/>
    <x v="0"/>
    <x v="254"/>
    <x v="226"/>
    <n v="9745629981"/>
    <s v="ravi@company.com"/>
    <x v="273"/>
    <x v="3"/>
    <m/>
    <m/>
    <m/>
    <m/>
    <m/>
    <x v="16"/>
    <x v="0"/>
    <n v="1151"/>
    <x v="0"/>
    <x v="0"/>
    <m/>
    <m/>
    <m/>
    <m/>
    <m/>
    <m/>
    <m/>
    <s v="OK"/>
  </r>
  <r>
    <x v="274"/>
    <s v="Sunita"/>
    <x v="2"/>
    <x v="255"/>
    <x v="227"/>
    <n v="9741467345"/>
    <s v="vikas@company.com"/>
    <x v="274"/>
    <x v="3"/>
    <m/>
    <m/>
    <m/>
    <m/>
    <m/>
    <x v="14"/>
    <x v="0"/>
    <n v="1050"/>
    <x v="31"/>
    <x v="4"/>
    <m/>
    <m/>
    <m/>
    <m/>
    <m/>
    <m/>
    <m/>
    <s v="OK"/>
  </r>
  <r>
    <x v="275"/>
    <s v="Vikas"/>
    <x v="1"/>
    <x v="256"/>
    <x v="228"/>
    <n v="9539842844"/>
    <s v="neha@company.com"/>
    <x v="275"/>
    <x v="0"/>
    <m/>
    <m/>
    <m/>
    <m/>
    <m/>
    <x v="21"/>
    <x v="0"/>
    <n v="1461"/>
    <x v="46"/>
    <x v="3"/>
    <m/>
    <m/>
    <m/>
    <m/>
    <m/>
    <m/>
    <m/>
    <s v="OK"/>
  </r>
  <r>
    <x v="276"/>
    <s v="Suresh"/>
    <x v="3"/>
    <x v="257"/>
    <x v="229"/>
    <n v="9195723614"/>
    <s v="rahul@company.com"/>
    <x v="276"/>
    <x v="1"/>
    <m/>
    <m/>
    <m/>
    <m/>
    <m/>
    <x v="0"/>
    <x v="1"/>
    <n v="1146"/>
    <x v="0"/>
    <x v="0"/>
    <m/>
    <m/>
    <m/>
    <m/>
    <m/>
    <m/>
    <m/>
    <s v="OK"/>
  </r>
  <r>
    <x v="277"/>
    <s v="Kiran"/>
    <x v="1"/>
    <x v="258"/>
    <x v="230"/>
    <n v="9198077305"/>
    <s v="sunita@company.com"/>
    <x v="277"/>
    <x v="2"/>
    <m/>
    <m/>
    <m/>
    <m/>
    <m/>
    <x v="24"/>
    <x v="1"/>
    <n v="142"/>
    <x v="51"/>
    <x v="1"/>
    <m/>
    <m/>
    <m/>
    <m/>
    <m/>
    <m/>
    <m/>
    <s v="CHECK"/>
  </r>
  <r>
    <x v="278"/>
    <s v="Vikas"/>
    <x v="3"/>
    <x v="72"/>
    <x v="231"/>
    <n v="9772513756"/>
    <s v="rahul@company.com"/>
    <x v="278"/>
    <x v="1"/>
    <m/>
    <m/>
    <m/>
    <m/>
    <m/>
    <x v="12"/>
    <x v="0"/>
    <n v="1000"/>
    <x v="25"/>
    <x v="4"/>
    <m/>
    <m/>
    <m/>
    <m/>
    <m/>
    <m/>
    <m/>
    <s v="OK"/>
  </r>
  <r>
    <x v="279"/>
    <s v="Sunita"/>
    <x v="0"/>
    <x v="259"/>
    <x v="6"/>
    <n v="9715769563"/>
    <s v="rahul@gmail.com"/>
    <x v="279"/>
    <x v="3"/>
    <m/>
    <m/>
    <m/>
    <m/>
    <m/>
    <x v="16"/>
    <x v="1"/>
    <n v="1011"/>
    <x v="14"/>
    <x v="4"/>
    <m/>
    <m/>
    <m/>
    <m/>
    <m/>
    <m/>
    <m/>
    <s v="OK"/>
  </r>
  <r>
    <x v="280"/>
    <s v="Neha"/>
    <x v="1"/>
    <x v="260"/>
    <x v="232"/>
    <n v="9873784208"/>
    <s v="suresh@company.com"/>
    <x v="280"/>
    <x v="4"/>
    <m/>
    <m/>
    <m/>
    <m/>
    <m/>
    <x v="23"/>
    <x v="0"/>
    <n v="421"/>
    <x v="48"/>
    <x v="2"/>
    <m/>
    <m/>
    <m/>
    <m/>
    <m/>
    <m/>
    <m/>
    <s v="OK"/>
  </r>
  <r>
    <x v="281"/>
    <s v="Kiran"/>
    <x v="0"/>
    <x v="261"/>
    <x v="233"/>
    <n v="9623115702"/>
    <s v="ankit@company.com"/>
    <x v="281"/>
    <x v="4"/>
    <m/>
    <m/>
    <m/>
    <m/>
    <m/>
    <x v="13"/>
    <x v="1"/>
    <n v="767"/>
    <x v="32"/>
    <x v="4"/>
    <m/>
    <m/>
    <m/>
    <m/>
    <m/>
    <m/>
    <m/>
    <s v="OK"/>
  </r>
  <r>
    <x v="282"/>
    <s v="Rahul"/>
    <x v="2"/>
    <x v="262"/>
    <x v="234"/>
    <n v="9581322902"/>
    <s v="amit@company.com"/>
    <x v="282"/>
    <x v="3"/>
    <m/>
    <m/>
    <m/>
    <m/>
    <m/>
    <x v="13"/>
    <x v="0"/>
    <n v="425"/>
    <x v="48"/>
    <x v="2"/>
    <m/>
    <m/>
    <m/>
    <m/>
    <m/>
    <m/>
    <m/>
    <s v="OK"/>
  </r>
  <r>
    <x v="283"/>
    <s v="Rahul"/>
    <x v="0"/>
    <x v="263"/>
    <x v="235"/>
    <n v="9942364996"/>
    <s v="pooja@company.com"/>
    <x v="283"/>
    <x v="3"/>
    <m/>
    <m/>
    <m/>
    <m/>
    <m/>
    <x v="18"/>
    <x v="0"/>
    <n v="1321"/>
    <x v="6"/>
    <x v="0"/>
    <m/>
    <m/>
    <m/>
    <m/>
    <m/>
    <m/>
    <m/>
    <s v="OK"/>
  </r>
  <r>
    <x v="284"/>
    <s v="Sunita"/>
    <x v="2"/>
    <x v="264"/>
    <x v="236"/>
    <n v="9513014697"/>
    <s v="ravi@company.com"/>
    <x v="284"/>
    <x v="4"/>
    <m/>
    <m/>
    <m/>
    <m/>
    <m/>
    <x v="6"/>
    <x v="2"/>
    <n v="541"/>
    <x v="15"/>
    <x v="2"/>
    <m/>
    <m/>
    <m/>
    <m/>
    <m/>
    <m/>
    <m/>
    <s v="OK"/>
  </r>
  <r>
    <x v="285"/>
    <s v="Suresh"/>
    <x v="2"/>
    <x v="265"/>
    <x v="237"/>
    <n v="9731732913"/>
    <s v="amit@company.com"/>
    <x v="285"/>
    <x v="0"/>
    <m/>
    <m/>
    <m/>
    <m/>
    <m/>
    <x v="7"/>
    <x v="0"/>
    <n v="833"/>
    <x v="18"/>
    <x v="4"/>
    <m/>
    <m/>
    <m/>
    <m/>
    <m/>
    <m/>
    <m/>
    <s v="OK"/>
  </r>
  <r>
    <x v="286"/>
    <s v="Ankit"/>
    <x v="0"/>
    <x v="266"/>
    <x v="6"/>
    <n v="9144917075"/>
    <s v="suresh@company.com"/>
    <x v="286"/>
    <x v="1"/>
    <m/>
    <m/>
    <m/>
    <m/>
    <m/>
    <x v="16"/>
    <x v="0"/>
    <n v="2124"/>
    <x v="50"/>
    <x v="5"/>
    <m/>
    <m/>
    <m/>
    <m/>
    <m/>
    <m/>
    <m/>
    <s v="OK"/>
  </r>
  <r>
    <x v="287"/>
    <s v="Ankit"/>
    <x v="2"/>
    <x v="267"/>
    <x v="238"/>
    <n v="9406478617"/>
    <s v="kiran@gmail.com"/>
    <x v="287"/>
    <x v="2"/>
    <m/>
    <m/>
    <m/>
    <m/>
    <m/>
    <x v="4"/>
    <x v="0"/>
    <n v="150"/>
    <x v="51"/>
    <x v="1"/>
    <m/>
    <m/>
    <m/>
    <m/>
    <m/>
    <m/>
    <m/>
    <s v="CHECK"/>
  </r>
  <r>
    <x v="288"/>
    <s v="Vikas"/>
    <x v="2"/>
    <x v="232"/>
    <x v="239"/>
    <n v="9451093835"/>
    <s v="suresh@company.com"/>
    <x v="288"/>
    <x v="4"/>
    <m/>
    <m/>
    <m/>
    <m/>
    <m/>
    <x v="16"/>
    <x v="1"/>
    <n v="66"/>
    <x v="28"/>
    <x v="1"/>
    <m/>
    <m/>
    <m/>
    <m/>
    <m/>
    <m/>
    <m/>
    <s v="OK"/>
  </r>
  <r>
    <x v="289"/>
    <s v="Rahul"/>
    <x v="2"/>
    <x v="268"/>
    <x v="70"/>
    <n v="9983103052"/>
    <s v="neha@company.com"/>
    <x v="289"/>
    <x v="4"/>
    <m/>
    <m/>
    <m/>
    <m/>
    <m/>
    <x v="6"/>
    <x v="2"/>
    <n v="1339"/>
    <x v="19"/>
    <x v="0"/>
    <m/>
    <m/>
    <m/>
    <m/>
    <m/>
    <m/>
    <m/>
    <s v="OK"/>
  </r>
  <r>
    <x v="290"/>
    <s v="Suresh"/>
    <x v="0"/>
    <x v="269"/>
    <x v="240"/>
    <n v="9623206865"/>
    <s v="ankit@company.com"/>
    <x v="290"/>
    <x v="2"/>
    <m/>
    <m/>
    <m/>
    <m/>
    <m/>
    <x v="2"/>
    <x v="2"/>
    <n v="1102"/>
    <x v="13"/>
    <x v="0"/>
    <m/>
    <m/>
    <m/>
    <m/>
    <m/>
    <m/>
    <m/>
    <s v="OK"/>
  </r>
  <r>
    <x v="291"/>
    <s v="Vikas"/>
    <x v="1"/>
    <x v="243"/>
    <x v="241"/>
    <n v="9685575045"/>
    <s v="pooja@company.com"/>
    <x v="291"/>
    <x v="3"/>
    <m/>
    <m/>
    <m/>
    <m/>
    <m/>
    <x v="8"/>
    <x v="0"/>
    <n v="633"/>
    <x v="26"/>
    <x v="2"/>
    <m/>
    <m/>
    <m/>
    <m/>
    <m/>
    <m/>
    <m/>
    <s v="OK"/>
  </r>
  <r>
    <x v="292"/>
    <s v="Rahul"/>
    <x v="2"/>
    <x v="270"/>
    <x v="242"/>
    <n v="9517237392"/>
    <s v="suresh@company.com"/>
    <x v="292"/>
    <x v="2"/>
    <m/>
    <m/>
    <m/>
    <m/>
    <m/>
    <x v="0"/>
    <x v="1"/>
    <n v="1106"/>
    <x v="13"/>
    <x v="0"/>
    <m/>
    <m/>
    <m/>
    <m/>
    <m/>
    <m/>
    <m/>
    <s v="OK"/>
  </r>
  <r>
    <x v="293"/>
    <s v="Kiran"/>
    <x v="3"/>
    <x v="271"/>
    <x v="6"/>
    <n v="9701233989"/>
    <s v="ravi@company.com"/>
    <x v="293"/>
    <x v="2"/>
    <m/>
    <m/>
    <m/>
    <m/>
    <m/>
    <x v="3"/>
    <x v="2"/>
    <n v="825"/>
    <x v="18"/>
    <x v="4"/>
    <m/>
    <m/>
    <m/>
    <m/>
    <m/>
    <m/>
    <m/>
    <s v="OK"/>
  </r>
  <r>
    <x v="294"/>
    <s v="Suresh"/>
    <x v="0"/>
    <x v="272"/>
    <x v="243"/>
    <n v="9722925154"/>
    <s v="pooja@company.com"/>
    <x v="294"/>
    <x v="4"/>
    <m/>
    <m/>
    <m/>
    <m/>
    <m/>
    <x v="5"/>
    <x v="0"/>
    <n v="1298"/>
    <x v="21"/>
    <x v="0"/>
    <m/>
    <m/>
    <m/>
    <m/>
    <m/>
    <m/>
    <m/>
    <s v="OK"/>
  </r>
  <r>
    <x v="295"/>
    <s v="Rahul"/>
    <x v="0"/>
    <x v="273"/>
    <x v="244"/>
    <n v="9540888252"/>
    <s v="sunita@gmail.com"/>
    <x v="295"/>
    <x v="3"/>
    <m/>
    <m/>
    <m/>
    <m/>
    <m/>
    <x v="8"/>
    <x v="2"/>
    <n v="1126"/>
    <x v="0"/>
    <x v="0"/>
    <m/>
    <m/>
    <m/>
    <m/>
    <m/>
    <m/>
    <m/>
    <s v="OK"/>
  </r>
  <r>
    <x v="296"/>
    <s v="Pooja"/>
    <x v="2"/>
    <x v="274"/>
    <x v="245"/>
    <n v="9373955065"/>
    <s v="suresh@company.com"/>
    <x v="296"/>
    <x v="4"/>
    <m/>
    <m/>
    <m/>
    <m/>
    <m/>
    <x v="10"/>
    <x v="2"/>
    <n v="1087"/>
    <x v="23"/>
    <x v="4"/>
    <m/>
    <m/>
    <m/>
    <m/>
    <m/>
    <m/>
    <m/>
    <s v="OK"/>
  </r>
  <r>
    <x v="297"/>
    <s v="Rahul"/>
    <x v="3"/>
    <x v="275"/>
    <x v="246"/>
    <n v="9111465155"/>
    <s v="kiran@company.com"/>
    <x v="297"/>
    <x v="4"/>
    <m/>
    <m/>
    <m/>
    <m/>
    <m/>
    <x v="14"/>
    <x v="2"/>
    <n v="1318"/>
    <x v="6"/>
    <x v="0"/>
    <m/>
    <m/>
    <m/>
    <m/>
    <m/>
    <m/>
    <m/>
    <s v="OK"/>
  </r>
  <r>
    <x v="298"/>
    <s v="Sunita"/>
    <x v="3"/>
    <x v="276"/>
    <x v="147"/>
    <n v="9782757973"/>
    <s v="kiran@company.com"/>
    <x v="298"/>
    <x v="1"/>
    <m/>
    <m/>
    <m/>
    <m/>
    <m/>
    <x v="19"/>
    <x v="0"/>
    <n v="1255"/>
    <x v="16"/>
    <x v="0"/>
    <m/>
    <m/>
    <m/>
    <m/>
    <m/>
    <m/>
    <m/>
    <s v="OK"/>
  </r>
  <r>
    <x v="299"/>
    <s v="Ankit"/>
    <x v="3"/>
    <x v="277"/>
    <x v="247"/>
    <n v="9346875401"/>
    <s v="neha@company.com"/>
    <x v="299"/>
    <x v="4"/>
    <m/>
    <m/>
    <m/>
    <m/>
    <m/>
    <x v="19"/>
    <x v="2"/>
    <n v="996"/>
    <x v="25"/>
    <x v="4"/>
    <m/>
    <m/>
    <m/>
    <m/>
    <m/>
    <m/>
    <m/>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A77E6-1CB0-43D9-A0D9-89C75C74736E}" name="Dept_Avg_Exper"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D11:E14" firstHeaderRow="1" firstDataRow="1" firstDataCol="1"/>
  <pivotFields count="27">
    <pivotField compact="0" outline="0" showAll="0"/>
    <pivotField compact="0" outline="0" showAll="0"/>
    <pivotField axis="axisRow" compact="0" outline="0" showAll="0">
      <items count="5">
        <item x="1"/>
        <item x="2"/>
        <item x="0"/>
        <item x="3"/>
        <item t="default"/>
      </items>
    </pivotField>
    <pivotField compact="0" numFmtId="14" outline="0" showAll="0">
      <items count="279">
        <item x="49"/>
        <item x="173"/>
        <item x="220"/>
        <item x="174"/>
        <item x="190"/>
        <item x="29"/>
        <item x="10"/>
        <item x="221"/>
        <item x="61"/>
        <item x="43"/>
        <item x="138"/>
        <item x="139"/>
        <item x="165"/>
        <item x="117"/>
        <item x="240"/>
        <item x="11"/>
        <item x="244"/>
        <item x="230"/>
        <item x="25"/>
        <item x="242"/>
        <item x="78"/>
        <item x="225"/>
        <item x="110"/>
        <item x="39"/>
        <item x="201"/>
        <item x="16"/>
        <item x="66"/>
        <item x="146"/>
        <item x="91"/>
        <item x="223"/>
        <item x="131"/>
        <item x="36"/>
        <item x="241"/>
        <item x="56"/>
        <item x="125"/>
        <item x="120"/>
        <item x="231"/>
        <item x="68"/>
        <item x="262"/>
        <item x="111"/>
        <item x="73"/>
        <item x="249"/>
        <item x="251"/>
        <item x="5"/>
        <item x="109"/>
        <item x="104"/>
        <item x="193"/>
        <item x="67"/>
        <item x="189"/>
        <item x="24"/>
        <item x="85"/>
        <item x="84"/>
        <item x="141"/>
        <item x="207"/>
        <item x="65"/>
        <item x="183"/>
        <item x="59"/>
        <item x="18"/>
        <item x="214"/>
        <item x="219"/>
        <item x="277"/>
        <item x="122"/>
        <item x="266"/>
        <item x="100"/>
        <item x="143"/>
        <item x="156"/>
        <item x="107"/>
        <item x="17"/>
        <item x="77"/>
        <item x="158"/>
        <item x="253"/>
        <item x="114"/>
        <item x="274"/>
        <item x="136"/>
        <item x="75"/>
        <item x="42"/>
        <item x="41"/>
        <item x="170"/>
        <item x="69"/>
        <item x="224"/>
        <item x="252"/>
        <item x="13"/>
        <item x="62"/>
        <item x="255"/>
        <item x="38"/>
        <item x="95"/>
        <item x="48"/>
        <item x="261"/>
        <item x="233"/>
        <item x="129"/>
        <item x="145"/>
        <item x="203"/>
        <item x="263"/>
        <item x="268"/>
        <item x="118"/>
        <item x="112"/>
        <item x="140"/>
        <item x="57"/>
        <item x="60"/>
        <item x="3"/>
        <item x="79"/>
        <item x="229"/>
        <item x="205"/>
        <item x="243"/>
        <item x="267"/>
        <item x="82"/>
        <item x="163"/>
        <item x="32"/>
        <item x="155"/>
        <item x="80"/>
        <item x="89"/>
        <item x="162"/>
        <item x="35"/>
        <item x="58"/>
        <item x="217"/>
        <item x="6"/>
        <item x="265"/>
        <item x="37"/>
        <item x="70"/>
        <item x="206"/>
        <item x="52"/>
        <item x="150"/>
        <item x="232"/>
        <item x="152"/>
        <item x="83"/>
        <item x="93"/>
        <item x="63"/>
        <item x="167"/>
        <item x="179"/>
        <item x="166"/>
        <item x="180"/>
        <item x="192"/>
        <item x="258"/>
        <item x="144"/>
        <item x="105"/>
        <item x="27"/>
        <item x="23"/>
        <item x="28"/>
        <item x="215"/>
        <item x="202"/>
        <item x="148"/>
        <item x="212"/>
        <item x="272"/>
        <item x="50"/>
        <item x="200"/>
        <item x="130"/>
        <item x="81"/>
        <item x="209"/>
        <item x="208"/>
        <item x="9"/>
        <item x="151"/>
        <item x="236"/>
        <item x="126"/>
        <item x="238"/>
        <item x="45"/>
        <item x="102"/>
        <item x="169"/>
        <item x="191"/>
        <item x="188"/>
        <item x="4"/>
        <item x="53"/>
        <item x="98"/>
        <item x="108"/>
        <item x="90"/>
        <item x="51"/>
        <item x="213"/>
        <item x="142"/>
        <item x="264"/>
        <item x="113"/>
        <item x="254"/>
        <item x="256"/>
        <item x="0"/>
        <item x="237"/>
        <item x="246"/>
        <item x="273"/>
        <item x="128"/>
        <item x="124"/>
        <item x="235"/>
        <item x="147"/>
        <item x="72"/>
        <item x="211"/>
        <item x="106"/>
        <item x="210"/>
        <item x="21"/>
        <item x="40"/>
        <item x="115"/>
        <item x="153"/>
        <item x="177"/>
        <item x="178"/>
        <item x="71"/>
        <item x="7"/>
        <item x="99"/>
        <item x="204"/>
        <item x="168"/>
        <item x="103"/>
        <item x="121"/>
        <item x="176"/>
        <item x="20"/>
        <item x="54"/>
        <item x="116"/>
        <item x="269"/>
        <item x="154"/>
        <item x="157"/>
        <item x="12"/>
        <item x="199"/>
        <item x="216"/>
        <item x="46"/>
        <item x="76"/>
        <item x="194"/>
        <item x="86"/>
        <item x="181"/>
        <item x="197"/>
        <item x="2"/>
        <item x="134"/>
        <item x="175"/>
        <item x="22"/>
        <item x="87"/>
        <item x="94"/>
        <item x="171"/>
        <item x="8"/>
        <item x="14"/>
        <item x="133"/>
        <item x="239"/>
        <item x="101"/>
        <item x="245"/>
        <item x="247"/>
        <item x="228"/>
        <item x="64"/>
        <item x="44"/>
        <item x="132"/>
        <item x="195"/>
        <item x="26"/>
        <item x="260"/>
        <item x="259"/>
        <item x="196"/>
        <item x="34"/>
        <item x="161"/>
        <item x="33"/>
        <item x="218"/>
        <item x="227"/>
        <item x="234"/>
        <item x="96"/>
        <item x="74"/>
        <item x="198"/>
        <item x="276"/>
        <item x="164"/>
        <item x="135"/>
        <item x="275"/>
        <item x="222"/>
        <item x="186"/>
        <item x="187"/>
        <item x="185"/>
        <item x="127"/>
        <item x="137"/>
        <item x="250"/>
        <item x="1"/>
        <item x="19"/>
        <item x="119"/>
        <item x="184"/>
        <item x="226"/>
        <item x="30"/>
        <item x="97"/>
        <item x="123"/>
        <item x="47"/>
        <item x="160"/>
        <item x="172"/>
        <item x="271"/>
        <item x="55"/>
        <item x="149"/>
        <item x="270"/>
        <item x="31"/>
        <item x="15"/>
        <item x="182"/>
        <item x="159"/>
        <item x="88"/>
        <item x="257"/>
        <item x="92"/>
        <item x="248"/>
        <item t="default"/>
      </items>
    </pivotField>
    <pivotField compact="0" numFmtId="14" outline="0" showAll="0">
      <items count="249">
        <item x="156"/>
        <item x="10"/>
        <item x="215"/>
        <item x="203"/>
        <item x="223"/>
        <item x="213"/>
        <item x="69"/>
        <item x="35"/>
        <item x="5"/>
        <item x="59"/>
        <item x="99"/>
        <item x="125"/>
        <item x="81"/>
        <item x="104"/>
        <item x="157"/>
        <item x="181"/>
        <item x="107"/>
        <item x="60"/>
        <item x="16"/>
        <item x="221"/>
        <item x="174"/>
        <item x="234"/>
        <item x="111"/>
        <item x="212"/>
        <item x="98"/>
        <item x="105"/>
        <item x="225"/>
        <item x="115"/>
        <item x="71"/>
        <item x="38"/>
        <item x="58"/>
        <item x="32"/>
        <item x="199"/>
        <item x="193"/>
        <item x="238"/>
        <item x="43"/>
        <item x="90"/>
        <item x="151"/>
        <item x="128"/>
        <item x="239"/>
        <item x="132"/>
        <item x="11"/>
        <item x="136"/>
        <item x="22"/>
        <item x="148"/>
        <item x="23"/>
        <item x="33"/>
        <item x="218"/>
        <item x="97"/>
        <item x="230"/>
        <item x="184"/>
        <item x="61"/>
        <item x="50"/>
        <item x="198"/>
        <item x="102"/>
        <item x="56"/>
        <item x="183"/>
        <item x="93"/>
        <item x="214"/>
        <item x="124"/>
        <item x="117"/>
        <item x="170"/>
        <item x="3"/>
        <item x="26"/>
        <item x="118"/>
        <item x="130"/>
        <item x="201"/>
        <item x="53"/>
        <item x="113"/>
        <item x="45"/>
        <item x="143"/>
        <item x="15"/>
        <item x="100"/>
        <item x="162"/>
        <item x="34"/>
        <item x="241"/>
        <item x="137"/>
        <item x="233"/>
        <item x="36"/>
        <item x="161"/>
        <item x="37"/>
        <item x="196"/>
        <item x="211"/>
        <item x="152"/>
        <item x="154"/>
        <item x="54"/>
        <item x="29"/>
        <item x="64"/>
        <item x="74"/>
        <item x="17"/>
        <item x="62"/>
        <item x="247"/>
        <item x="206"/>
        <item x="40"/>
        <item x="44"/>
        <item x="73"/>
        <item x="127"/>
        <item x="194"/>
        <item x="165"/>
        <item x="65"/>
        <item x="12"/>
        <item x="94"/>
        <item x="175"/>
        <item x="2"/>
        <item x="210"/>
        <item x="200"/>
        <item x="195"/>
        <item x="75"/>
        <item x="185"/>
        <item x="9"/>
        <item x="245"/>
        <item x="138"/>
        <item x="227"/>
        <item x="207"/>
        <item x="31"/>
        <item x="237"/>
        <item x="172"/>
        <item x="163"/>
        <item x="173"/>
        <item x="159"/>
        <item x="68"/>
        <item x="220"/>
        <item x="182"/>
        <item x="187"/>
        <item x="158"/>
        <item x="95"/>
        <item x="96"/>
        <item x="236"/>
        <item x="49"/>
        <item x="202"/>
        <item x="91"/>
        <item x="191"/>
        <item x="197"/>
        <item x="126"/>
        <item x="216"/>
        <item x="51"/>
        <item x="72"/>
        <item x="131"/>
        <item x="129"/>
        <item x="171"/>
        <item x="1"/>
        <item x="57"/>
        <item x="123"/>
        <item x="55"/>
        <item x="186"/>
        <item x="80"/>
        <item x="46"/>
        <item x="47"/>
        <item x="146"/>
        <item x="121"/>
        <item x="122"/>
        <item x="224"/>
        <item x="189"/>
        <item x="235"/>
        <item x="19"/>
        <item x="219"/>
        <item x="179"/>
        <item x="208"/>
        <item x="70"/>
        <item x="134"/>
        <item x="120"/>
        <item x="217"/>
        <item x="20"/>
        <item x="116"/>
        <item x="232"/>
        <item x="85"/>
        <item x="14"/>
        <item x="83"/>
        <item x="209"/>
        <item x="133"/>
        <item x="139"/>
        <item x="119"/>
        <item x="180"/>
        <item x="142"/>
        <item x="92"/>
        <item x="178"/>
        <item x="192"/>
        <item x="39"/>
        <item x="77"/>
        <item x="231"/>
        <item x="140"/>
        <item x="25"/>
        <item x="76"/>
        <item x="18"/>
        <item x="243"/>
        <item x="153"/>
        <item x="141"/>
        <item x="101"/>
        <item x="0"/>
        <item x="226"/>
        <item x="244"/>
        <item x="21"/>
        <item x="188"/>
        <item x="150"/>
        <item x="145"/>
        <item x="88"/>
        <item x="52"/>
        <item x="109"/>
        <item x="8"/>
        <item x="155"/>
        <item x="13"/>
        <item x="166"/>
        <item x="190"/>
        <item x="86"/>
        <item x="176"/>
        <item x="4"/>
        <item x="240"/>
        <item x="30"/>
        <item x="177"/>
        <item x="79"/>
        <item x="110"/>
        <item x="144"/>
        <item x="41"/>
        <item x="168"/>
        <item x="67"/>
        <item x="63"/>
        <item x="6"/>
        <item x="228"/>
        <item x="89"/>
        <item x="7"/>
        <item x="204"/>
        <item x="222"/>
        <item x="103"/>
        <item x="160"/>
        <item x="135"/>
        <item x="82"/>
        <item x="164"/>
        <item x="48"/>
        <item x="112"/>
        <item x="108"/>
        <item x="149"/>
        <item x="84"/>
        <item x="242"/>
        <item x="28"/>
        <item x="147"/>
        <item x="205"/>
        <item x="24"/>
        <item x="87"/>
        <item x="229"/>
        <item x="106"/>
        <item x="246"/>
        <item x="66"/>
        <item x="42"/>
        <item x="167"/>
        <item x="169"/>
        <item x="114"/>
        <item x="27"/>
        <item x="78"/>
        <item t="default"/>
      </items>
    </pivotField>
    <pivotField compact="0" outline="0" showAll="0"/>
    <pivotField compact="0" outline="0" showAll="0"/>
    <pivotField compact="0" numFmtId="166" outline="0" showAll="0">
      <items count="301">
        <item x="126"/>
        <item x="182"/>
        <item x="166"/>
        <item x="130"/>
        <item x="21"/>
        <item x="226"/>
        <item x="54"/>
        <item x="150"/>
        <item x="259"/>
        <item x="129"/>
        <item x="271"/>
        <item x="161"/>
        <item x="82"/>
        <item x="43"/>
        <item x="29"/>
        <item x="28"/>
        <item x="57"/>
        <item x="44"/>
        <item x="256"/>
        <item x="148"/>
        <item x="0"/>
        <item x="285"/>
        <item x="196"/>
        <item x="251"/>
        <item x="10"/>
        <item x="26"/>
        <item x="141"/>
        <item x="184"/>
        <item x="8"/>
        <item x="275"/>
        <item x="90"/>
        <item x="15"/>
        <item x="254"/>
        <item x="42"/>
        <item x="197"/>
        <item x="239"/>
        <item x="128"/>
        <item x="74"/>
        <item x="22"/>
        <item x="158"/>
        <item x="200"/>
        <item x="92"/>
        <item x="279"/>
        <item x="189"/>
        <item x="237"/>
        <item x="274"/>
        <item x="115"/>
        <item x="47"/>
        <item x="87"/>
        <item x="49"/>
        <item x="84"/>
        <item x="216"/>
        <item x="246"/>
        <item x="70"/>
        <item x="162"/>
        <item x="219"/>
        <item x="261"/>
        <item x="35"/>
        <item x="125"/>
        <item x="24"/>
        <item x="100"/>
        <item x="63"/>
        <item x="228"/>
        <item x="187"/>
        <item x="48"/>
        <item x="295"/>
        <item x="191"/>
        <item x="120"/>
        <item x="257"/>
        <item x="273"/>
        <item x="222"/>
        <item x="265"/>
        <item x="165"/>
        <item x="78"/>
        <item x="291"/>
        <item x="193"/>
        <item x="18"/>
        <item x="117"/>
        <item x="268"/>
        <item x="183"/>
        <item x="30"/>
        <item x="185"/>
        <item x="121"/>
        <item x="155"/>
        <item x="283"/>
        <item x="32"/>
        <item x="211"/>
        <item x="3"/>
        <item x="157"/>
        <item x="160"/>
        <item x="252"/>
        <item x="71"/>
        <item x="176"/>
        <item x="233"/>
        <item x="17"/>
        <item x="156"/>
        <item x="91"/>
        <item x="180"/>
        <item x="255"/>
        <item x="282"/>
        <item x="93"/>
        <item x="85"/>
        <item x="61"/>
        <item x="241"/>
        <item x="7"/>
        <item x="55"/>
        <item x="65"/>
        <item x="264"/>
        <item x="37"/>
        <item x="248"/>
        <item x="174"/>
        <item x="68"/>
        <item x="16"/>
        <item x="97"/>
        <item x="296"/>
        <item x="195"/>
        <item x="170"/>
        <item x="51"/>
        <item x="250"/>
        <item x="41"/>
        <item x="116"/>
        <item x="223"/>
        <item x="36"/>
        <item x="151"/>
        <item x="159"/>
        <item x="202"/>
        <item x="86"/>
        <item x="169"/>
        <item x="284"/>
        <item x="262"/>
        <item x="236"/>
        <item x="243"/>
        <item x="40"/>
        <item x="171"/>
        <item x="80"/>
        <item x="132"/>
        <item x="289"/>
        <item x="25"/>
        <item x="13"/>
        <item x="105"/>
        <item x="5"/>
        <item x="144"/>
        <item x="294"/>
        <item x="140"/>
        <item x="52"/>
        <item x="177"/>
        <item x="249"/>
        <item x="96"/>
        <item x="102"/>
        <item x="288"/>
        <item x="27"/>
        <item x="190"/>
        <item x="38"/>
        <item x="208"/>
        <item x="62"/>
        <item x="218"/>
        <item x="149"/>
        <item x="104"/>
        <item x="154"/>
        <item x="114"/>
        <item x="297"/>
        <item x="20"/>
        <item x="163"/>
        <item x="281"/>
        <item x="240"/>
        <item x="11"/>
        <item x="67"/>
        <item x="147"/>
        <item x="153"/>
        <item x="258"/>
        <item x="179"/>
        <item x="31"/>
        <item x="133"/>
        <item x="164"/>
        <item x="280"/>
        <item x="299"/>
        <item x="98"/>
        <item x="75"/>
        <item x="33"/>
        <item x="270"/>
        <item x="136"/>
        <item x="230"/>
        <item x="137"/>
        <item x="94"/>
        <item x="267"/>
        <item x="60"/>
        <item x="112"/>
        <item x="188"/>
        <item x="276"/>
        <item x="95"/>
        <item x="231"/>
        <item x="181"/>
        <item x="111"/>
        <item x="66"/>
        <item x="76"/>
        <item x="56"/>
        <item x="206"/>
        <item x="72"/>
        <item x="134"/>
        <item x="263"/>
        <item x="260"/>
        <item x="207"/>
        <item x="145"/>
        <item x="1"/>
        <item x="213"/>
        <item x="173"/>
        <item x="209"/>
        <item x="192"/>
        <item x="234"/>
        <item x="14"/>
        <item x="106"/>
        <item x="227"/>
        <item x="220"/>
        <item x="113"/>
        <item x="204"/>
        <item x="110"/>
        <item x="99"/>
        <item x="232"/>
        <item x="83"/>
        <item x="124"/>
        <item x="238"/>
        <item x="46"/>
        <item x="9"/>
        <item x="77"/>
        <item x="73"/>
        <item x="88"/>
        <item x="168"/>
        <item x="108"/>
        <item x="19"/>
        <item x="81"/>
        <item x="278"/>
        <item x="119"/>
        <item x="229"/>
        <item x="194"/>
        <item x="198"/>
        <item x="127"/>
        <item x="298"/>
        <item x="69"/>
        <item x="212"/>
        <item x="286"/>
        <item x="167"/>
        <item x="266"/>
        <item x="142"/>
        <item x="235"/>
        <item x="186"/>
        <item x="143"/>
        <item x="221"/>
        <item x="131"/>
        <item x="215"/>
        <item x="199"/>
        <item x="178"/>
        <item x="118"/>
        <item x="175"/>
        <item x="172"/>
        <item x="253"/>
        <item x="79"/>
        <item x="214"/>
        <item x="201"/>
        <item x="103"/>
        <item x="290"/>
        <item x="203"/>
        <item x="89"/>
        <item x="242"/>
        <item x="39"/>
        <item x="109"/>
        <item x="245"/>
        <item x="205"/>
        <item x="247"/>
        <item x="45"/>
        <item x="107"/>
        <item x="6"/>
        <item x="293"/>
        <item x="2"/>
        <item x="269"/>
        <item x="224"/>
        <item x="53"/>
        <item x="64"/>
        <item x="23"/>
        <item x="287"/>
        <item x="50"/>
        <item x="34"/>
        <item x="58"/>
        <item x="146"/>
        <item x="139"/>
        <item x="225"/>
        <item x="272"/>
        <item x="210"/>
        <item x="123"/>
        <item x="217"/>
        <item x="59"/>
        <item x="152"/>
        <item x="135"/>
        <item x="244"/>
        <item x="101"/>
        <item x="138"/>
        <item x="277"/>
        <item x="292"/>
        <item x="4"/>
        <item x="12"/>
        <item x="122"/>
        <item t="default"/>
      </items>
    </pivotField>
    <pivotField compact="0" outline="0" showAll="0">
      <items count="6">
        <item h="1" x="3"/>
        <item h="1" x="4"/>
        <item x="1"/>
        <item h="1" x="2"/>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64">
        <item x="28"/>
        <item x="1"/>
        <item x="51"/>
        <item x="4"/>
        <item x="9"/>
        <item x="62"/>
        <item x="12"/>
        <item x="37"/>
        <item x="57"/>
        <item x="55"/>
        <item x="45"/>
        <item x="48"/>
        <item x="34"/>
        <item x="30"/>
        <item x="2"/>
        <item x="15"/>
        <item x="49"/>
        <item x="8"/>
        <item x="26"/>
        <item x="39"/>
        <item x="17"/>
        <item x="59"/>
        <item x="27"/>
        <item x="32"/>
        <item x="10"/>
        <item x="18"/>
        <item x="24"/>
        <item x="7"/>
        <item x="35"/>
        <item x="52"/>
        <item x="25"/>
        <item x="14"/>
        <item x="31"/>
        <item x="23"/>
        <item x="13"/>
        <item x="0"/>
        <item x="42"/>
        <item x="47"/>
        <item x="40"/>
        <item x="16"/>
        <item x="21"/>
        <item x="6"/>
        <item x="19"/>
        <item x="3"/>
        <item x="22"/>
        <item x="33"/>
        <item x="46"/>
        <item x="60"/>
        <item x="20"/>
        <item x="5"/>
        <item x="44"/>
        <item x="43"/>
        <item x="11"/>
        <item x="29"/>
        <item x="41"/>
        <item x="50"/>
        <item x="53"/>
        <item x="38"/>
        <item x="54"/>
        <item x="61"/>
        <item x="56"/>
        <item x="36"/>
        <item x="58"/>
        <item t="default"/>
      </items>
    </pivotField>
    <pivotField dataField="1" compact="0" outline="0" showAll="0">
      <items count="8">
        <item h="1" x="1"/>
        <item h="1" x="2"/>
        <item h="1" x="4"/>
        <item h="1" x="0"/>
        <item x="3"/>
        <item h="1" x="5"/>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3"/>
    </i>
    <i t="grand">
      <x/>
    </i>
  </rowItems>
  <colItems count="1">
    <i/>
  </colItems>
  <dataFields count="1">
    <dataField name="Average of Experience Years" fld="18" subtotal="average" baseField="2" baseItem="0" numFmtId="17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16857F-C1C6-4BCC-8664-9164395879FF}" name="Dept_Avg_Salary"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26:B29" firstHeaderRow="1" firstDataRow="1" firstDataCol="1"/>
  <pivotFields count="27">
    <pivotField compact="0" outline="0" showAll="0"/>
    <pivotField compact="0" outline="0" showAll="0"/>
    <pivotField axis="axisRow" compact="0" outline="0" showAll="0">
      <items count="5">
        <item x="1"/>
        <item x="2"/>
        <item x="0"/>
        <item x="3"/>
        <item t="default"/>
      </items>
    </pivotField>
    <pivotField compact="0" numFmtId="14" outline="0" showAll="0">
      <items count="279">
        <item x="49"/>
        <item x="173"/>
        <item x="220"/>
        <item x="174"/>
        <item x="190"/>
        <item x="29"/>
        <item x="10"/>
        <item x="221"/>
        <item x="61"/>
        <item x="43"/>
        <item x="138"/>
        <item x="139"/>
        <item x="165"/>
        <item x="117"/>
        <item x="240"/>
        <item x="11"/>
        <item x="244"/>
        <item x="230"/>
        <item x="25"/>
        <item x="242"/>
        <item x="78"/>
        <item x="225"/>
        <item x="110"/>
        <item x="39"/>
        <item x="201"/>
        <item x="16"/>
        <item x="66"/>
        <item x="146"/>
        <item x="91"/>
        <item x="223"/>
        <item x="131"/>
        <item x="36"/>
        <item x="241"/>
        <item x="56"/>
        <item x="125"/>
        <item x="120"/>
        <item x="231"/>
        <item x="68"/>
        <item x="262"/>
        <item x="111"/>
        <item x="73"/>
        <item x="249"/>
        <item x="251"/>
        <item x="5"/>
        <item x="109"/>
        <item x="104"/>
        <item x="193"/>
        <item x="67"/>
        <item x="189"/>
        <item x="24"/>
        <item x="85"/>
        <item x="84"/>
        <item x="141"/>
        <item x="207"/>
        <item x="65"/>
        <item x="183"/>
        <item x="59"/>
        <item x="18"/>
        <item x="214"/>
        <item x="219"/>
        <item x="277"/>
        <item x="122"/>
        <item x="266"/>
        <item x="100"/>
        <item x="143"/>
        <item x="156"/>
        <item x="107"/>
        <item x="17"/>
        <item x="77"/>
        <item x="158"/>
        <item x="253"/>
        <item x="114"/>
        <item x="274"/>
        <item x="136"/>
        <item x="75"/>
        <item x="42"/>
        <item x="41"/>
        <item x="170"/>
        <item x="69"/>
        <item x="224"/>
        <item x="252"/>
        <item x="13"/>
        <item x="62"/>
        <item x="255"/>
        <item x="38"/>
        <item x="95"/>
        <item x="48"/>
        <item x="261"/>
        <item x="233"/>
        <item x="129"/>
        <item x="145"/>
        <item x="203"/>
        <item x="263"/>
        <item x="268"/>
        <item x="118"/>
        <item x="112"/>
        <item x="140"/>
        <item x="57"/>
        <item x="60"/>
        <item x="3"/>
        <item x="79"/>
        <item x="229"/>
        <item x="205"/>
        <item x="243"/>
        <item x="267"/>
        <item x="82"/>
        <item x="163"/>
        <item x="32"/>
        <item x="155"/>
        <item x="80"/>
        <item x="89"/>
        <item x="162"/>
        <item x="35"/>
        <item x="58"/>
        <item x="217"/>
        <item x="6"/>
        <item x="265"/>
        <item x="37"/>
        <item x="70"/>
        <item x="206"/>
        <item x="52"/>
        <item x="150"/>
        <item x="232"/>
        <item x="152"/>
        <item x="83"/>
        <item x="93"/>
        <item x="63"/>
        <item x="167"/>
        <item x="179"/>
        <item x="166"/>
        <item x="180"/>
        <item x="192"/>
        <item x="258"/>
        <item x="144"/>
        <item x="105"/>
        <item x="27"/>
        <item x="23"/>
        <item x="28"/>
        <item x="215"/>
        <item x="202"/>
        <item x="148"/>
        <item x="212"/>
        <item x="272"/>
        <item x="50"/>
        <item x="200"/>
        <item x="130"/>
        <item x="81"/>
        <item x="209"/>
        <item x="208"/>
        <item x="9"/>
        <item x="151"/>
        <item x="236"/>
        <item x="126"/>
        <item x="238"/>
        <item x="45"/>
        <item x="102"/>
        <item x="169"/>
        <item x="191"/>
        <item x="188"/>
        <item x="4"/>
        <item x="53"/>
        <item x="98"/>
        <item x="108"/>
        <item x="90"/>
        <item x="51"/>
        <item x="213"/>
        <item x="142"/>
        <item x="264"/>
        <item x="113"/>
        <item x="254"/>
        <item x="256"/>
        <item x="0"/>
        <item x="237"/>
        <item x="246"/>
        <item x="273"/>
        <item x="128"/>
        <item x="124"/>
        <item x="235"/>
        <item x="147"/>
        <item x="72"/>
        <item x="211"/>
        <item x="106"/>
        <item x="210"/>
        <item x="21"/>
        <item x="40"/>
        <item x="115"/>
        <item x="153"/>
        <item x="177"/>
        <item x="178"/>
        <item x="71"/>
        <item x="7"/>
        <item x="99"/>
        <item x="204"/>
        <item x="168"/>
        <item x="103"/>
        <item x="121"/>
        <item x="176"/>
        <item x="20"/>
        <item x="54"/>
        <item x="116"/>
        <item x="269"/>
        <item x="154"/>
        <item x="157"/>
        <item x="12"/>
        <item x="199"/>
        <item x="216"/>
        <item x="46"/>
        <item x="76"/>
        <item x="194"/>
        <item x="86"/>
        <item x="181"/>
        <item x="197"/>
        <item x="2"/>
        <item x="134"/>
        <item x="175"/>
        <item x="22"/>
        <item x="87"/>
        <item x="94"/>
        <item x="171"/>
        <item x="8"/>
        <item x="14"/>
        <item x="133"/>
        <item x="239"/>
        <item x="101"/>
        <item x="245"/>
        <item x="247"/>
        <item x="228"/>
        <item x="64"/>
        <item x="44"/>
        <item x="132"/>
        <item x="195"/>
        <item x="26"/>
        <item x="260"/>
        <item x="259"/>
        <item x="196"/>
        <item x="34"/>
        <item x="161"/>
        <item x="33"/>
        <item x="218"/>
        <item x="227"/>
        <item x="234"/>
        <item x="96"/>
        <item x="74"/>
        <item x="198"/>
        <item x="276"/>
        <item x="164"/>
        <item x="135"/>
        <item x="275"/>
        <item x="222"/>
        <item x="186"/>
        <item x="187"/>
        <item x="185"/>
        <item x="127"/>
        <item x="137"/>
        <item x="250"/>
        <item x="1"/>
        <item x="19"/>
        <item x="119"/>
        <item x="184"/>
        <item x="226"/>
        <item x="30"/>
        <item x="97"/>
        <item x="123"/>
        <item x="47"/>
        <item x="160"/>
        <item x="172"/>
        <item x="271"/>
        <item x="55"/>
        <item x="149"/>
        <item x="270"/>
        <item x="31"/>
        <item x="15"/>
        <item x="182"/>
        <item x="159"/>
        <item x="88"/>
        <item x="257"/>
        <item x="92"/>
        <item x="248"/>
        <item t="default"/>
      </items>
    </pivotField>
    <pivotField compact="0" numFmtId="14" outline="0" showAll="0">
      <items count="249">
        <item x="156"/>
        <item x="10"/>
        <item x="215"/>
        <item x="203"/>
        <item x="223"/>
        <item x="213"/>
        <item x="69"/>
        <item x="35"/>
        <item x="5"/>
        <item x="59"/>
        <item x="99"/>
        <item x="125"/>
        <item x="81"/>
        <item x="104"/>
        <item x="157"/>
        <item x="181"/>
        <item x="107"/>
        <item x="60"/>
        <item x="16"/>
        <item x="221"/>
        <item x="174"/>
        <item x="234"/>
        <item x="111"/>
        <item x="212"/>
        <item x="98"/>
        <item x="105"/>
        <item x="225"/>
        <item x="115"/>
        <item x="71"/>
        <item x="38"/>
        <item x="58"/>
        <item x="32"/>
        <item x="199"/>
        <item x="193"/>
        <item x="238"/>
        <item x="43"/>
        <item x="90"/>
        <item x="151"/>
        <item x="128"/>
        <item x="239"/>
        <item x="132"/>
        <item x="11"/>
        <item x="136"/>
        <item x="22"/>
        <item x="148"/>
        <item x="23"/>
        <item x="33"/>
        <item x="218"/>
        <item x="97"/>
        <item x="230"/>
        <item x="184"/>
        <item x="61"/>
        <item x="50"/>
        <item x="198"/>
        <item x="102"/>
        <item x="56"/>
        <item x="183"/>
        <item x="93"/>
        <item x="214"/>
        <item x="124"/>
        <item x="117"/>
        <item x="170"/>
        <item x="3"/>
        <item x="26"/>
        <item x="118"/>
        <item x="130"/>
        <item x="201"/>
        <item x="53"/>
        <item x="113"/>
        <item x="45"/>
        <item x="143"/>
        <item x="15"/>
        <item x="100"/>
        <item x="162"/>
        <item x="34"/>
        <item x="241"/>
        <item x="137"/>
        <item x="233"/>
        <item x="36"/>
        <item x="161"/>
        <item x="37"/>
        <item x="196"/>
        <item x="211"/>
        <item x="152"/>
        <item x="154"/>
        <item x="54"/>
        <item x="29"/>
        <item x="64"/>
        <item x="74"/>
        <item x="17"/>
        <item x="62"/>
        <item x="247"/>
        <item x="206"/>
        <item x="40"/>
        <item x="44"/>
        <item x="73"/>
        <item x="127"/>
        <item x="194"/>
        <item x="165"/>
        <item x="65"/>
        <item x="12"/>
        <item x="94"/>
        <item x="175"/>
        <item x="2"/>
        <item x="210"/>
        <item x="200"/>
        <item x="195"/>
        <item x="75"/>
        <item x="185"/>
        <item x="9"/>
        <item x="245"/>
        <item x="138"/>
        <item x="227"/>
        <item x="207"/>
        <item x="31"/>
        <item x="237"/>
        <item x="172"/>
        <item x="163"/>
        <item x="173"/>
        <item x="159"/>
        <item x="68"/>
        <item x="220"/>
        <item x="182"/>
        <item x="187"/>
        <item x="158"/>
        <item x="95"/>
        <item x="96"/>
        <item x="236"/>
        <item x="49"/>
        <item x="202"/>
        <item x="91"/>
        <item x="191"/>
        <item x="197"/>
        <item x="126"/>
        <item x="216"/>
        <item x="51"/>
        <item x="72"/>
        <item x="131"/>
        <item x="129"/>
        <item x="171"/>
        <item x="1"/>
        <item x="57"/>
        <item x="123"/>
        <item x="55"/>
        <item x="186"/>
        <item x="80"/>
        <item x="46"/>
        <item x="47"/>
        <item x="146"/>
        <item x="121"/>
        <item x="122"/>
        <item x="224"/>
        <item x="189"/>
        <item x="235"/>
        <item x="19"/>
        <item x="219"/>
        <item x="179"/>
        <item x="208"/>
        <item x="70"/>
        <item x="134"/>
        <item x="120"/>
        <item x="217"/>
        <item x="20"/>
        <item x="116"/>
        <item x="232"/>
        <item x="85"/>
        <item x="14"/>
        <item x="83"/>
        <item x="209"/>
        <item x="133"/>
        <item x="139"/>
        <item x="119"/>
        <item x="180"/>
        <item x="142"/>
        <item x="92"/>
        <item x="178"/>
        <item x="192"/>
        <item x="39"/>
        <item x="77"/>
        <item x="231"/>
        <item x="140"/>
        <item x="25"/>
        <item x="76"/>
        <item x="18"/>
        <item x="243"/>
        <item x="153"/>
        <item x="141"/>
        <item x="101"/>
        <item x="0"/>
        <item x="226"/>
        <item x="244"/>
        <item x="21"/>
        <item x="188"/>
        <item x="150"/>
        <item x="145"/>
        <item x="88"/>
        <item x="52"/>
        <item x="109"/>
        <item x="8"/>
        <item x="155"/>
        <item x="13"/>
        <item x="166"/>
        <item x="190"/>
        <item x="86"/>
        <item x="176"/>
        <item x="4"/>
        <item x="240"/>
        <item x="30"/>
        <item x="177"/>
        <item x="79"/>
        <item x="110"/>
        <item x="144"/>
        <item x="41"/>
        <item x="168"/>
        <item x="67"/>
        <item x="63"/>
        <item x="6"/>
        <item x="228"/>
        <item x="89"/>
        <item x="7"/>
        <item x="204"/>
        <item x="222"/>
        <item x="103"/>
        <item x="160"/>
        <item x="135"/>
        <item x="82"/>
        <item x="164"/>
        <item x="48"/>
        <item x="112"/>
        <item x="108"/>
        <item x="149"/>
        <item x="84"/>
        <item x="242"/>
        <item x="28"/>
        <item x="147"/>
        <item x="205"/>
        <item x="24"/>
        <item x="87"/>
        <item x="229"/>
        <item x="106"/>
        <item x="246"/>
        <item x="66"/>
        <item x="42"/>
        <item x="167"/>
        <item x="169"/>
        <item x="114"/>
        <item x="27"/>
        <item x="78"/>
        <item t="default"/>
      </items>
    </pivotField>
    <pivotField compact="0" outline="0" showAll="0"/>
    <pivotField compact="0" outline="0" showAll="0"/>
    <pivotField dataField="1" compact="0" numFmtId="166" outline="0" showAll="0">
      <items count="301">
        <item x="126"/>
        <item x="182"/>
        <item x="166"/>
        <item x="130"/>
        <item x="21"/>
        <item x="226"/>
        <item x="54"/>
        <item x="150"/>
        <item x="259"/>
        <item x="129"/>
        <item x="271"/>
        <item x="161"/>
        <item x="82"/>
        <item x="43"/>
        <item x="29"/>
        <item x="28"/>
        <item x="57"/>
        <item x="44"/>
        <item x="256"/>
        <item x="148"/>
        <item x="0"/>
        <item x="285"/>
        <item x="196"/>
        <item x="251"/>
        <item x="10"/>
        <item x="26"/>
        <item x="141"/>
        <item x="184"/>
        <item x="8"/>
        <item x="275"/>
        <item x="90"/>
        <item x="15"/>
        <item x="254"/>
        <item x="42"/>
        <item x="197"/>
        <item x="239"/>
        <item x="128"/>
        <item x="74"/>
        <item x="22"/>
        <item x="158"/>
        <item x="200"/>
        <item x="92"/>
        <item x="279"/>
        <item x="189"/>
        <item x="237"/>
        <item x="274"/>
        <item x="115"/>
        <item x="47"/>
        <item x="87"/>
        <item x="49"/>
        <item x="84"/>
        <item x="216"/>
        <item x="246"/>
        <item x="70"/>
        <item x="162"/>
        <item x="219"/>
        <item x="261"/>
        <item x="35"/>
        <item x="125"/>
        <item x="24"/>
        <item x="100"/>
        <item x="63"/>
        <item x="228"/>
        <item x="187"/>
        <item x="48"/>
        <item x="295"/>
        <item x="191"/>
        <item x="120"/>
        <item x="257"/>
        <item x="273"/>
        <item x="222"/>
        <item x="265"/>
        <item x="165"/>
        <item x="78"/>
        <item x="291"/>
        <item x="193"/>
        <item x="18"/>
        <item x="117"/>
        <item x="268"/>
        <item x="183"/>
        <item x="30"/>
        <item x="185"/>
        <item x="121"/>
        <item x="155"/>
        <item x="283"/>
        <item x="32"/>
        <item x="211"/>
        <item x="3"/>
        <item x="157"/>
        <item x="160"/>
        <item x="252"/>
        <item x="71"/>
        <item x="176"/>
        <item x="233"/>
        <item x="17"/>
        <item x="156"/>
        <item x="91"/>
        <item x="180"/>
        <item x="255"/>
        <item x="282"/>
        <item x="93"/>
        <item x="85"/>
        <item x="61"/>
        <item x="241"/>
        <item x="7"/>
        <item x="55"/>
        <item x="65"/>
        <item x="264"/>
        <item x="37"/>
        <item x="248"/>
        <item x="174"/>
        <item x="68"/>
        <item x="16"/>
        <item x="97"/>
        <item x="296"/>
        <item x="195"/>
        <item x="170"/>
        <item x="51"/>
        <item x="250"/>
        <item x="41"/>
        <item x="116"/>
        <item x="223"/>
        <item x="36"/>
        <item x="151"/>
        <item x="159"/>
        <item x="202"/>
        <item x="86"/>
        <item x="169"/>
        <item x="284"/>
        <item x="262"/>
        <item x="236"/>
        <item x="243"/>
        <item x="40"/>
        <item x="171"/>
        <item x="80"/>
        <item x="132"/>
        <item x="289"/>
        <item x="25"/>
        <item x="13"/>
        <item x="105"/>
        <item x="5"/>
        <item x="144"/>
        <item x="294"/>
        <item x="140"/>
        <item x="52"/>
        <item x="177"/>
        <item x="249"/>
        <item x="96"/>
        <item x="102"/>
        <item x="288"/>
        <item x="27"/>
        <item x="190"/>
        <item x="38"/>
        <item x="208"/>
        <item x="62"/>
        <item x="218"/>
        <item x="149"/>
        <item x="104"/>
        <item x="154"/>
        <item x="114"/>
        <item x="297"/>
        <item x="20"/>
        <item x="163"/>
        <item x="281"/>
        <item x="240"/>
        <item x="11"/>
        <item x="67"/>
        <item x="147"/>
        <item x="153"/>
        <item x="258"/>
        <item x="179"/>
        <item x="31"/>
        <item x="133"/>
        <item x="164"/>
        <item x="280"/>
        <item x="299"/>
        <item x="98"/>
        <item x="75"/>
        <item x="33"/>
        <item x="270"/>
        <item x="136"/>
        <item x="230"/>
        <item x="137"/>
        <item x="94"/>
        <item x="267"/>
        <item x="60"/>
        <item x="112"/>
        <item x="188"/>
        <item x="276"/>
        <item x="95"/>
        <item x="231"/>
        <item x="181"/>
        <item x="111"/>
        <item x="66"/>
        <item x="76"/>
        <item x="56"/>
        <item x="206"/>
        <item x="72"/>
        <item x="134"/>
        <item x="263"/>
        <item x="260"/>
        <item x="207"/>
        <item x="145"/>
        <item x="1"/>
        <item x="213"/>
        <item x="173"/>
        <item x="209"/>
        <item x="192"/>
        <item x="234"/>
        <item x="14"/>
        <item x="106"/>
        <item x="227"/>
        <item x="220"/>
        <item x="113"/>
        <item x="204"/>
        <item x="110"/>
        <item x="99"/>
        <item x="232"/>
        <item x="83"/>
        <item x="124"/>
        <item x="238"/>
        <item x="46"/>
        <item x="9"/>
        <item x="77"/>
        <item x="73"/>
        <item x="88"/>
        <item x="168"/>
        <item x="108"/>
        <item x="19"/>
        <item x="81"/>
        <item x="278"/>
        <item x="119"/>
        <item x="229"/>
        <item x="194"/>
        <item x="198"/>
        <item x="127"/>
        <item x="298"/>
        <item x="69"/>
        <item x="212"/>
        <item x="286"/>
        <item x="167"/>
        <item x="266"/>
        <item x="142"/>
        <item x="235"/>
        <item x="186"/>
        <item x="143"/>
        <item x="221"/>
        <item x="131"/>
        <item x="215"/>
        <item x="199"/>
        <item x="178"/>
        <item x="118"/>
        <item x="175"/>
        <item x="172"/>
        <item x="253"/>
        <item x="79"/>
        <item x="214"/>
        <item x="201"/>
        <item x="103"/>
        <item x="290"/>
        <item x="203"/>
        <item x="89"/>
        <item x="242"/>
        <item x="39"/>
        <item x="109"/>
        <item x="245"/>
        <item x="205"/>
        <item x="247"/>
        <item x="45"/>
        <item x="107"/>
        <item x="6"/>
        <item x="293"/>
        <item x="2"/>
        <item x="269"/>
        <item x="224"/>
        <item x="53"/>
        <item x="64"/>
        <item x="23"/>
        <item x="287"/>
        <item x="50"/>
        <item x="34"/>
        <item x="58"/>
        <item x="146"/>
        <item x="139"/>
        <item x="225"/>
        <item x="272"/>
        <item x="210"/>
        <item x="123"/>
        <item x="217"/>
        <item x="59"/>
        <item x="152"/>
        <item x="135"/>
        <item x="244"/>
        <item x="101"/>
        <item x="138"/>
        <item x="277"/>
        <item x="292"/>
        <item x="4"/>
        <item x="12"/>
        <item x="122"/>
        <item t="default"/>
      </items>
    </pivotField>
    <pivotField compact="0" outline="0" showAll="0">
      <items count="6">
        <item h="1" x="3"/>
        <item h="1" x="4"/>
        <item x="1"/>
        <item h="1" x="2"/>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64">
        <item x="28"/>
        <item x="1"/>
        <item x="51"/>
        <item x="4"/>
        <item x="9"/>
        <item x="62"/>
        <item x="12"/>
        <item x="37"/>
        <item x="57"/>
        <item x="55"/>
        <item x="45"/>
        <item x="48"/>
        <item x="34"/>
        <item x="30"/>
        <item x="2"/>
        <item x="15"/>
        <item x="49"/>
        <item x="8"/>
        <item x="26"/>
        <item x="39"/>
        <item x="17"/>
        <item x="59"/>
        <item x="27"/>
        <item x="32"/>
        <item x="10"/>
        <item x="18"/>
        <item x="24"/>
        <item x="7"/>
        <item x="35"/>
        <item x="52"/>
        <item x="25"/>
        <item x="14"/>
        <item x="31"/>
        <item x="23"/>
        <item x="13"/>
        <item x="0"/>
        <item x="42"/>
        <item x="47"/>
        <item x="40"/>
        <item x="16"/>
        <item x="21"/>
        <item x="6"/>
        <item x="19"/>
        <item x="3"/>
        <item x="22"/>
        <item x="33"/>
        <item x="46"/>
        <item x="60"/>
        <item x="20"/>
        <item x="5"/>
        <item x="44"/>
        <item x="43"/>
        <item x="11"/>
        <item x="29"/>
        <item x="41"/>
        <item x="50"/>
        <item x="53"/>
        <item x="38"/>
        <item x="54"/>
        <item x="61"/>
        <item x="56"/>
        <item x="36"/>
        <item x="58"/>
        <item t="default"/>
      </items>
    </pivotField>
    <pivotField compact="0" outline="0" showAll="0">
      <items count="8">
        <item h="1" x="1"/>
        <item h="1" x="2"/>
        <item h="1" x="4"/>
        <item h="1" x="0"/>
        <item x="3"/>
        <item h="1" x="5"/>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3"/>
    </i>
    <i t="grand">
      <x/>
    </i>
  </rowItems>
  <colItems count="1">
    <i/>
  </colItems>
  <dataFields count="1">
    <dataField name="Average of Salary" fld="7" subtotal="average" baseField="2"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4ABB1-D1E2-4D6E-8DD0-2C01D1FAB1AB}" name="Manager_Headount"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H2:I5" firstHeaderRow="1" firstDataRow="1" firstDataCol="1"/>
  <pivotFields count="27">
    <pivotField dataField="1" compact="0" outline="0" showAll="0"/>
    <pivotField compact="0" outline="0" showAll="0"/>
    <pivotField compact="0" outline="0" showAll="0">
      <items count="5">
        <item x="1"/>
        <item x="2"/>
        <item x="0"/>
        <item x="3"/>
        <item t="default"/>
      </items>
    </pivotField>
    <pivotField compact="0" numFmtId="14" outline="0" showAll="0">
      <items count="279">
        <item x="49"/>
        <item x="173"/>
        <item x="220"/>
        <item x="174"/>
        <item x="190"/>
        <item x="29"/>
        <item x="10"/>
        <item x="221"/>
        <item x="61"/>
        <item x="43"/>
        <item x="138"/>
        <item x="139"/>
        <item x="165"/>
        <item x="117"/>
        <item x="240"/>
        <item x="11"/>
        <item x="244"/>
        <item x="230"/>
        <item x="25"/>
        <item x="242"/>
        <item x="78"/>
        <item x="225"/>
        <item x="110"/>
        <item x="39"/>
        <item x="201"/>
        <item x="16"/>
        <item x="66"/>
        <item x="146"/>
        <item x="91"/>
        <item x="223"/>
        <item x="131"/>
        <item x="36"/>
        <item x="241"/>
        <item x="56"/>
        <item x="125"/>
        <item x="120"/>
        <item x="231"/>
        <item x="68"/>
        <item x="262"/>
        <item x="111"/>
        <item x="73"/>
        <item x="249"/>
        <item x="251"/>
        <item x="5"/>
        <item x="109"/>
        <item x="104"/>
        <item x="193"/>
        <item x="67"/>
        <item x="189"/>
        <item x="24"/>
        <item x="85"/>
        <item x="84"/>
        <item x="141"/>
        <item x="207"/>
        <item x="65"/>
        <item x="183"/>
        <item x="59"/>
        <item x="18"/>
        <item x="214"/>
        <item x="219"/>
        <item x="277"/>
        <item x="122"/>
        <item x="266"/>
        <item x="100"/>
        <item x="143"/>
        <item x="156"/>
        <item x="107"/>
        <item x="17"/>
        <item x="77"/>
        <item x="158"/>
        <item x="253"/>
        <item x="114"/>
        <item x="274"/>
        <item x="136"/>
        <item x="75"/>
        <item x="42"/>
        <item x="41"/>
        <item x="170"/>
        <item x="69"/>
        <item x="224"/>
        <item x="252"/>
        <item x="13"/>
        <item x="62"/>
        <item x="255"/>
        <item x="38"/>
        <item x="95"/>
        <item x="48"/>
        <item x="261"/>
        <item x="233"/>
        <item x="129"/>
        <item x="145"/>
        <item x="203"/>
        <item x="263"/>
        <item x="268"/>
        <item x="118"/>
        <item x="112"/>
        <item x="140"/>
        <item x="57"/>
        <item x="60"/>
        <item x="3"/>
        <item x="79"/>
        <item x="229"/>
        <item x="205"/>
        <item x="243"/>
        <item x="267"/>
        <item x="82"/>
        <item x="163"/>
        <item x="32"/>
        <item x="155"/>
        <item x="80"/>
        <item x="89"/>
        <item x="162"/>
        <item x="35"/>
        <item x="58"/>
        <item x="217"/>
        <item x="6"/>
        <item x="265"/>
        <item x="37"/>
        <item x="70"/>
        <item x="206"/>
        <item x="52"/>
        <item x="150"/>
        <item x="232"/>
        <item x="152"/>
        <item x="83"/>
        <item x="93"/>
        <item x="63"/>
        <item x="167"/>
        <item x="179"/>
        <item x="166"/>
        <item x="180"/>
        <item x="192"/>
        <item x="258"/>
        <item x="144"/>
        <item x="105"/>
        <item x="27"/>
        <item x="23"/>
        <item x="28"/>
        <item x="215"/>
        <item x="202"/>
        <item x="148"/>
        <item x="212"/>
        <item x="272"/>
        <item x="50"/>
        <item x="200"/>
        <item x="130"/>
        <item x="81"/>
        <item x="209"/>
        <item x="208"/>
        <item x="9"/>
        <item x="151"/>
        <item x="236"/>
        <item x="126"/>
        <item x="238"/>
        <item x="45"/>
        <item x="102"/>
        <item x="169"/>
        <item x="191"/>
        <item x="188"/>
        <item x="4"/>
        <item x="53"/>
        <item x="98"/>
        <item x="108"/>
        <item x="90"/>
        <item x="51"/>
        <item x="213"/>
        <item x="142"/>
        <item x="264"/>
        <item x="113"/>
        <item x="254"/>
        <item x="256"/>
        <item x="0"/>
        <item x="237"/>
        <item x="246"/>
        <item x="273"/>
        <item x="128"/>
        <item x="124"/>
        <item x="235"/>
        <item x="147"/>
        <item x="72"/>
        <item x="211"/>
        <item x="106"/>
        <item x="210"/>
        <item x="21"/>
        <item x="40"/>
        <item x="115"/>
        <item x="153"/>
        <item x="177"/>
        <item x="178"/>
        <item x="71"/>
        <item x="7"/>
        <item x="99"/>
        <item x="204"/>
        <item x="168"/>
        <item x="103"/>
        <item x="121"/>
        <item x="176"/>
        <item x="20"/>
        <item x="54"/>
        <item x="116"/>
        <item x="269"/>
        <item x="154"/>
        <item x="157"/>
        <item x="12"/>
        <item x="199"/>
        <item x="216"/>
        <item x="46"/>
        <item x="76"/>
        <item x="194"/>
        <item x="86"/>
        <item x="181"/>
        <item x="197"/>
        <item x="2"/>
        <item x="134"/>
        <item x="175"/>
        <item x="22"/>
        <item x="87"/>
        <item x="94"/>
        <item x="171"/>
        <item x="8"/>
        <item x="14"/>
        <item x="133"/>
        <item x="239"/>
        <item x="101"/>
        <item x="245"/>
        <item x="247"/>
        <item x="228"/>
        <item x="64"/>
        <item x="44"/>
        <item x="132"/>
        <item x="195"/>
        <item x="26"/>
        <item x="260"/>
        <item x="259"/>
        <item x="196"/>
        <item x="34"/>
        <item x="161"/>
        <item x="33"/>
        <item x="218"/>
        <item x="227"/>
        <item x="234"/>
        <item x="96"/>
        <item x="74"/>
        <item x="198"/>
        <item x="276"/>
        <item x="164"/>
        <item x="135"/>
        <item x="275"/>
        <item x="222"/>
        <item x="186"/>
        <item x="187"/>
        <item x="185"/>
        <item x="127"/>
        <item x="137"/>
        <item x="250"/>
        <item x="1"/>
        <item x="19"/>
        <item x="119"/>
        <item x="184"/>
        <item x="226"/>
        <item x="30"/>
        <item x="97"/>
        <item x="123"/>
        <item x="47"/>
        <item x="160"/>
        <item x="172"/>
        <item x="271"/>
        <item x="55"/>
        <item x="149"/>
        <item x="270"/>
        <item x="31"/>
        <item x="15"/>
        <item x="182"/>
        <item x="159"/>
        <item x="88"/>
        <item x="257"/>
        <item x="92"/>
        <item x="248"/>
        <item t="default"/>
      </items>
    </pivotField>
    <pivotField compact="0" numFmtId="14" outline="0" showAll="0">
      <items count="249">
        <item x="156"/>
        <item x="10"/>
        <item x="215"/>
        <item x="203"/>
        <item x="223"/>
        <item x="213"/>
        <item x="69"/>
        <item x="35"/>
        <item x="5"/>
        <item x="59"/>
        <item x="99"/>
        <item x="125"/>
        <item x="81"/>
        <item x="104"/>
        <item x="157"/>
        <item x="181"/>
        <item x="107"/>
        <item x="60"/>
        <item x="16"/>
        <item x="221"/>
        <item x="174"/>
        <item x="234"/>
        <item x="111"/>
        <item x="212"/>
        <item x="98"/>
        <item x="105"/>
        <item x="225"/>
        <item x="115"/>
        <item x="71"/>
        <item x="38"/>
        <item x="58"/>
        <item x="32"/>
        <item x="199"/>
        <item x="193"/>
        <item x="238"/>
        <item x="43"/>
        <item x="90"/>
        <item x="151"/>
        <item x="128"/>
        <item x="239"/>
        <item x="132"/>
        <item x="11"/>
        <item x="136"/>
        <item x="22"/>
        <item x="148"/>
        <item x="23"/>
        <item x="33"/>
        <item x="218"/>
        <item x="97"/>
        <item x="230"/>
        <item x="184"/>
        <item x="61"/>
        <item x="50"/>
        <item x="198"/>
        <item x="102"/>
        <item x="56"/>
        <item x="183"/>
        <item x="93"/>
        <item x="214"/>
        <item x="124"/>
        <item x="117"/>
        <item x="170"/>
        <item x="3"/>
        <item x="26"/>
        <item x="118"/>
        <item x="130"/>
        <item x="201"/>
        <item x="53"/>
        <item x="113"/>
        <item x="45"/>
        <item x="143"/>
        <item x="15"/>
        <item x="100"/>
        <item x="162"/>
        <item x="34"/>
        <item x="241"/>
        <item x="137"/>
        <item x="233"/>
        <item x="36"/>
        <item x="161"/>
        <item x="37"/>
        <item x="196"/>
        <item x="211"/>
        <item x="152"/>
        <item x="154"/>
        <item x="54"/>
        <item x="29"/>
        <item x="64"/>
        <item x="74"/>
        <item x="17"/>
        <item x="62"/>
        <item x="247"/>
        <item x="206"/>
        <item x="40"/>
        <item x="44"/>
        <item x="73"/>
        <item x="127"/>
        <item x="194"/>
        <item x="165"/>
        <item x="65"/>
        <item x="12"/>
        <item x="94"/>
        <item x="175"/>
        <item x="2"/>
        <item x="210"/>
        <item x="200"/>
        <item x="195"/>
        <item x="75"/>
        <item x="185"/>
        <item x="9"/>
        <item x="245"/>
        <item x="138"/>
        <item x="227"/>
        <item x="207"/>
        <item x="31"/>
        <item x="237"/>
        <item x="172"/>
        <item x="163"/>
        <item x="173"/>
        <item x="159"/>
        <item x="68"/>
        <item x="220"/>
        <item x="182"/>
        <item x="187"/>
        <item x="158"/>
        <item x="95"/>
        <item x="96"/>
        <item x="236"/>
        <item x="49"/>
        <item x="202"/>
        <item x="91"/>
        <item x="191"/>
        <item x="197"/>
        <item x="126"/>
        <item x="216"/>
        <item x="51"/>
        <item x="72"/>
        <item x="131"/>
        <item x="129"/>
        <item x="171"/>
        <item x="1"/>
        <item x="57"/>
        <item x="123"/>
        <item x="55"/>
        <item x="186"/>
        <item x="80"/>
        <item x="46"/>
        <item x="47"/>
        <item x="146"/>
        <item x="121"/>
        <item x="122"/>
        <item x="224"/>
        <item x="189"/>
        <item x="235"/>
        <item x="19"/>
        <item x="219"/>
        <item x="179"/>
        <item x="208"/>
        <item x="70"/>
        <item x="134"/>
        <item x="120"/>
        <item x="217"/>
        <item x="20"/>
        <item x="116"/>
        <item x="232"/>
        <item x="85"/>
        <item x="14"/>
        <item x="83"/>
        <item x="209"/>
        <item x="133"/>
        <item x="139"/>
        <item x="119"/>
        <item x="180"/>
        <item x="142"/>
        <item x="92"/>
        <item x="178"/>
        <item x="192"/>
        <item x="39"/>
        <item x="77"/>
        <item x="231"/>
        <item x="140"/>
        <item x="25"/>
        <item x="76"/>
        <item x="18"/>
        <item x="243"/>
        <item x="153"/>
        <item x="141"/>
        <item x="101"/>
        <item x="0"/>
        <item x="226"/>
        <item x="244"/>
        <item x="21"/>
        <item x="188"/>
        <item x="150"/>
        <item x="145"/>
        <item x="88"/>
        <item x="52"/>
        <item x="109"/>
        <item x="8"/>
        <item x="155"/>
        <item x="13"/>
        <item x="166"/>
        <item x="190"/>
        <item x="86"/>
        <item x="176"/>
        <item x="4"/>
        <item x="240"/>
        <item x="30"/>
        <item x="177"/>
        <item x="79"/>
        <item x="110"/>
        <item x="144"/>
        <item x="41"/>
        <item x="168"/>
        <item x="67"/>
        <item x="63"/>
        <item x="6"/>
        <item x="228"/>
        <item x="89"/>
        <item x="7"/>
        <item x="204"/>
        <item x="222"/>
        <item x="103"/>
        <item x="160"/>
        <item x="135"/>
        <item x="82"/>
        <item x="164"/>
        <item x="48"/>
        <item x="112"/>
        <item x="108"/>
        <item x="149"/>
        <item x="84"/>
        <item x="242"/>
        <item x="28"/>
        <item x="147"/>
        <item x="205"/>
        <item x="24"/>
        <item x="87"/>
        <item x="229"/>
        <item x="106"/>
        <item x="246"/>
        <item x="66"/>
        <item x="42"/>
        <item x="167"/>
        <item x="169"/>
        <item x="114"/>
        <item x="27"/>
        <item x="78"/>
        <item t="default"/>
      </items>
    </pivotField>
    <pivotField compact="0" outline="0" showAll="0"/>
    <pivotField compact="0" outline="0" showAll="0"/>
    <pivotField compact="0" numFmtId="166" outline="0" showAll="0">
      <items count="301">
        <item x="126"/>
        <item x="182"/>
        <item x="166"/>
        <item x="130"/>
        <item x="21"/>
        <item x="226"/>
        <item x="54"/>
        <item x="150"/>
        <item x="259"/>
        <item x="129"/>
        <item x="271"/>
        <item x="161"/>
        <item x="82"/>
        <item x="43"/>
        <item x="29"/>
        <item x="28"/>
        <item x="57"/>
        <item x="44"/>
        <item x="256"/>
        <item x="148"/>
        <item x="0"/>
        <item x="285"/>
        <item x="196"/>
        <item x="251"/>
        <item x="10"/>
        <item x="26"/>
        <item x="141"/>
        <item x="184"/>
        <item x="8"/>
        <item x="275"/>
        <item x="90"/>
        <item x="15"/>
        <item x="254"/>
        <item x="42"/>
        <item x="197"/>
        <item x="239"/>
        <item x="128"/>
        <item x="74"/>
        <item x="22"/>
        <item x="158"/>
        <item x="200"/>
        <item x="92"/>
        <item x="279"/>
        <item x="189"/>
        <item x="237"/>
        <item x="274"/>
        <item x="115"/>
        <item x="47"/>
        <item x="87"/>
        <item x="49"/>
        <item x="84"/>
        <item x="216"/>
        <item x="246"/>
        <item x="70"/>
        <item x="162"/>
        <item x="219"/>
        <item x="261"/>
        <item x="35"/>
        <item x="125"/>
        <item x="24"/>
        <item x="100"/>
        <item x="63"/>
        <item x="228"/>
        <item x="187"/>
        <item x="48"/>
        <item x="295"/>
        <item x="191"/>
        <item x="120"/>
        <item x="257"/>
        <item x="273"/>
        <item x="222"/>
        <item x="265"/>
        <item x="165"/>
        <item x="78"/>
        <item x="291"/>
        <item x="193"/>
        <item x="18"/>
        <item x="117"/>
        <item x="268"/>
        <item x="183"/>
        <item x="30"/>
        <item x="185"/>
        <item x="121"/>
        <item x="155"/>
        <item x="283"/>
        <item x="32"/>
        <item x="211"/>
        <item x="3"/>
        <item x="157"/>
        <item x="160"/>
        <item x="252"/>
        <item x="71"/>
        <item x="176"/>
        <item x="233"/>
        <item x="17"/>
        <item x="156"/>
        <item x="91"/>
        <item x="180"/>
        <item x="255"/>
        <item x="282"/>
        <item x="93"/>
        <item x="85"/>
        <item x="61"/>
        <item x="241"/>
        <item x="7"/>
        <item x="55"/>
        <item x="65"/>
        <item x="264"/>
        <item x="37"/>
        <item x="248"/>
        <item x="174"/>
        <item x="68"/>
        <item x="16"/>
        <item x="97"/>
        <item x="296"/>
        <item x="195"/>
        <item x="170"/>
        <item x="51"/>
        <item x="250"/>
        <item x="41"/>
        <item x="116"/>
        <item x="223"/>
        <item x="36"/>
        <item x="151"/>
        <item x="159"/>
        <item x="202"/>
        <item x="86"/>
        <item x="169"/>
        <item x="284"/>
        <item x="262"/>
        <item x="236"/>
        <item x="243"/>
        <item x="40"/>
        <item x="171"/>
        <item x="80"/>
        <item x="132"/>
        <item x="289"/>
        <item x="25"/>
        <item x="13"/>
        <item x="105"/>
        <item x="5"/>
        <item x="144"/>
        <item x="294"/>
        <item x="140"/>
        <item x="52"/>
        <item x="177"/>
        <item x="249"/>
        <item x="96"/>
        <item x="102"/>
        <item x="288"/>
        <item x="27"/>
        <item x="190"/>
        <item x="38"/>
        <item x="208"/>
        <item x="62"/>
        <item x="218"/>
        <item x="149"/>
        <item x="104"/>
        <item x="154"/>
        <item x="114"/>
        <item x="297"/>
        <item x="20"/>
        <item x="163"/>
        <item x="281"/>
        <item x="240"/>
        <item x="11"/>
        <item x="67"/>
        <item x="147"/>
        <item x="153"/>
        <item x="258"/>
        <item x="179"/>
        <item x="31"/>
        <item x="133"/>
        <item x="164"/>
        <item x="280"/>
        <item x="299"/>
        <item x="98"/>
        <item x="75"/>
        <item x="33"/>
        <item x="270"/>
        <item x="136"/>
        <item x="230"/>
        <item x="137"/>
        <item x="94"/>
        <item x="267"/>
        <item x="60"/>
        <item x="112"/>
        <item x="188"/>
        <item x="276"/>
        <item x="95"/>
        <item x="231"/>
        <item x="181"/>
        <item x="111"/>
        <item x="66"/>
        <item x="76"/>
        <item x="56"/>
        <item x="206"/>
        <item x="72"/>
        <item x="134"/>
        <item x="263"/>
        <item x="260"/>
        <item x="207"/>
        <item x="145"/>
        <item x="1"/>
        <item x="213"/>
        <item x="173"/>
        <item x="209"/>
        <item x="192"/>
        <item x="234"/>
        <item x="14"/>
        <item x="106"/>
        <item x="227"/>
        <item x="220"/>
        <item x="113"/>
        <item x="204"/>
        <item x="110"/>
        <item x="99"/>
        <item x="232"/>
        <item x="83"/>
        <item x="124"/>
        <item x="238"/>
        <item x="46"/>
        <item x="9"/>
        <item x="77"/>
        <item x="73"/>
        <item x="88"/>
        <item x="168"/>
        <item x="108"/>
        <item x="19"/>
        <item x="81"/>
        <item x="278"/>
        <item x="119"/>
        <item x="229"/>
        <item x="194"/>
        <item x="198"/>
        <item x="127"/>
        <item x="298"/>
        <item x="69"/>
        <item x="212"/>
        <item x="286"/>
        <item x="167"/>
        <item x="266"/>
        <item x="142"/>
        <item x="235"/>
        <item x="186"/>
        <item x="143"/>
        <item x="221"/>
        <item x="131"/>
        <item x="215"/>
        <item x="199"/>
        <item x="178"/>
        <item x="118"/>
        <item x="175"/>
        <item x="172"/>
        <item x="253"/>
        <item x="79"/>
        <item x="214"/>
        <item x="201"/>
        <item x="103"/>
        <item x="290"/>
        <item x="203"/>
        <item x="89"/>
        <item x="242"/>
        <item x="39"/>
        <item x="109"/>
        <item x="245"/>
        <item x="205"/>
        <item x="247"/>
        <item x="45"/>
        <item x="107"/>
        <item x="6"/>
        <item x="293"/>
        <item x="2"/>
        <item x="269"/>
        <item x="224"/>
        <item x="53"/>
        <item x="64"/>
        <item x="23"/>
        <item x="287"/>
        <item x="50"/>
        <item x="34"/>
        <item x="58"/>
        <item x="146"/>
        <item x="139"/>
        <item x="225"/>
        <item x="272"/>
        <item x="210"/>
        <item x="123"/>
        <item x="217"/>
        <item x="59"/>
        <item x="152"/>
        <item x="135"/>
        <item x="244"/>
        <item x="101"/>
        <item x="138"/>
        <item x="277"/>
        <item x="292"/>
        <item x="4"/>
        <item x="12"/>
        <item x="122"/>
        <item t="default"/>
      </items>
    </pivotField>
    <pivotField compact="0" outline="0" showAll="0">
      <items count="6">
        <item h="1" x="3"/>
        <item h="1" x="4"/>
        <item x="1"/>
        <item h="1" x="2"/>
        <item h="1"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26">
        <item x="24"/>
        <item x="11"/>
        <item x="19"/>
        <item x="8"/>
        <item x="6"/>
        <item x="7"/>
        <item x="14"/>
        <item x="4"/>
        <item x="22"/>
        <item x="21"/>
        <item x="13"/>
        <item x="5"/>
        <item x="9"/>
        <item x="20"/>
        <item x="23"/>
        <item x="16"/>
        <item x="10"/>
        <item x="15"/>
        <item x="2"/>
        <item x="0"/>
        <item x="12"/>
        <item x="17"/>
        <item x="18"/>
        <item x="1"/>
        <item x="3"/>
        <item t="default"/>
      </items>
    </pivotField>
    <pivotField compact="0" outline="0" showAll="0">
      <items count="4">
        <item x="2"/>
        <item x="1"/>
        <item x="0"/>
        <item t="default"/>
      </items>
    </pivotField>
    <pivotField compact="0" outline="0" showAll="0"/>
    <pivotField compact="0" outline="0" showAll="0"/>
    <pivotField compact="0" outline="0" showAll="0">
      <items count="8">
        <item h="1" x="1"/>
        <item h="1" x="2"/>
        <item h="1" x="4"/>
        <item h="1" x="0"/>
        <item x="3"/>
        <item h="1" x="5"/>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3">
    <i>
      <x/>
    </i>
    <i>
      <x v="11"/>
    </i>
    <i t="grand">
      <x/>
    </i>
  </rowItems>
  <colItems count="1">
    <i/>
  </colItems>
  <dataFields count="1">
    <dataField name="Count of Emp ID Clea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47BB1-2B72-4B27-B03C-62A6F2B4F751}" name="Salary_Range_Headcount"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D28:E30" firstHeaderRow="1" firstDataRow="1" firstDataCol="1"/>
  <pivotFields count="27">
    <pivotField dataField="1" compact="0" outline="0" showAll="0"/>
    <pivotField compact="0" outline="0" showAll="0"/>
    <pivotField compact="0" outline="0" showAll="0">
      <items count="5">
        <item x="1"/>
        <item x="2"/>
        <item x="0"/>
        <item x="3"/>
        <item t="default"/>
      </items>
    </pivotField>
    <pivotField compact="0" numFmtId="14" outline="0" showAll="0">
      <items count="279">
        <item x="49"/>
        <item x="173"/>
        <item x="220"/>
        <item x="174"/>
        <item x="190"/>
        <item x="29"/>
        <item x="10"/>
        <item x="221"/>
        <item x="61"/>
        <item x="43"/>
        <item x="138"/>
        <item x="139"/>
        <item x="165"/>
        <item x="117"/>
        <item x="240"/>
        <item x="11"/>
        <item x="244"/>
        <item x="230"/>
        <item x="25"/>
        <item x="242"/>
        <item x="78"/>
        <item x="225"/>
        <item x="110"/>
        <item x="39"/>
        <item x="201"/>
        <item x="16"/>
        <item x="66"/>
        <item x="146"/>
        <item x="91"/>
        <item x="223"/>
        <item x="131"/>
        <item x="36"/>
        <item x="241"/>
        <item x="56"/>
        <item x="125"/>
        <item x="120"/>
        <item x="231"/>
        <item x="68"/>
        <item x="262"/>
        <item x="111"/>
        <item x="73"/>
        <item x="249"/>
        <item x="251"/>
        <item x="5"/>
        <item x="109"/>
        <item x="104"/>
        <item x="193"/>
        <item x="67"/>
        <item x="189"/>
        <item x="24"/>
        <item x="85"/>
        <item x="84"/>
        <item x="141"/>
        <item x="207"/>
        <item x="65"/>
        <item x="183"/>
        <item x="59"/>
        <item x="18"/>
        <item x="214"/>
        <item x="219"/>
        <item x="277"/>
        <item x="122"/>
        <item x="266"/>
        <item x="100"/>
        <item x="143"/>
        <item x="156"/>
        <item x="107"/>
        <item x="17"/>
        <item x="77"/>
        <item x="158"/>
        <item x="253"/>
        <item x="114"/>
        <item x="274"/>
        <item x="136"/>
        <item x="75"/>
        <item x="42"/>
        <item x="41"/>
        <item x="170"/>
        <item x="69"/>
        <item x="224"/>
        <item x="252"/>
        <item x="13"/>
        <item x="62"/>
        <item x="255"/>
        <item x="38"/>
        <item x="95"/>
        <item x="48"/>
        <item x="261"/>
        <item x="233"/>
        <item x="129"/>
        <item x="145"/>
        <item x="203"/>
        <item x="263"/>
        <item x="268"/>
        <item x="118"/>
        <item x="112"/>
        <item x="140"/>
        <item x="57"/>
        <item x="60"/>
        <item x="3"/>
        <item x="79"/>
        <item x="229"/>
        <item x="205"/>
        <item x="243"/>
        <item x="267"/>
        <item x="82"/>
        <item x="163"/>
        <item x="32"/>
        <item x="155"/>
        <item x="80"/>
        <item x="89"/>
        <item x="162"/>
        <item x="35"/>
        <item x="58"/>
        <item x="217"/>
        <item x="6"/>
        <item x="265"/>
        <item x="37"/>
        <item x="70"/>
        <item x="206"/>
        <item x="52"/>
        <item x="150"/>
        <item x="232"/>
        <item x="152"/>
        <item x="83"/>
        <item x="93"/>
        <item x="63"/>
        <item x="167"/>
        <item x="179"/>
        <item x="166"/>
        <item x="180"/>
        <item x="192"/>
        <item x="258"/>
        <item x="144"/>
        <item x="105"/>
        <item x="27"/>
        <item x="23"/>
        <item x="28"/>
        <item x="215"/>
        <item x="202"/>
        <item x="148"/>
        <item x="212"/>
        <item x="272"/>
        <item x="50"/>
        <item x="200"/>
        <item x="130"/>
        <item x="81"/>
        <item x="209"/>
        <item x="208"/>
        <item x="9"/>
        <item x="151"/>
        <item x="236"/>
        <item x="126"/>
        <item x="238"/>
        <item x="45"/>
        <item x="102"/>
        <item x="169"/>
        <item x="191"/>
        <item x="188"/>
        <item x="4"/>
        <item x="53"/>
        <item x="98"/>
        <item x="108"/>
        <item x="90"/>
        <item x="51"/>
        <item x="213"/>
        <item x="142"/>
        <item x="264"/>
        <item x="113"/>
        <item x="254"/>
        <item x="256"/>
        <item x="0"/>
        <item x="237"/>
        <item x="246"/>
        <item x="273"/>
        <item x="128"/>
        <item x="124"/>
        <item x="235"/>
        <item x="147"/>
        <item x="72"/>
        <item x="211"/>
        <item x="106"/>
        <item x="210"/>
        <item x="21"/>
        <item x="40"/>
        <item x="115"/>
        <item x="153"/>
        <item x="177"/>
        <item x="178"/>
        <item x="71"/>
        <item x="7"/>
        <item x="99"/>
        <item x="204"/>
        <item x="168"/>
        <item x="103"/>
        <item x="121"/>
        <item x="176"/>
        <item x="20"/>
        <item x="54"/>
        <item x="116"/>
        <item x="269"/>
        <item x="154"/>
        <item x="157"/>
        <item x="12"/>
        <item x="199"/>
        <item x="216"/>
        <item x="46"/>
        <item x="76"/>
        <item x="194"/>
        <item x="86"/>
        <item x="181"/>
        <item x="197"/>
        <item x="2"/>
        <item x="134"/>
        <item x="175"/>
        <item x="22"/>
        <item x="87"/>
        <item x="94"/>
        <item x="171"/>
        <item x="8"/>
        <item x="14"/>
        <item x="133"/>
        <item x="239"/>
        <item x="101"/>
        <item x="245"/>
        <item x="247"/>
        <item x="228"/>
        <item x="64"/>
        <item x="44"/>
        <item x="132"/>
        <item x="195"/>
        <item x="26"/>
        <item x="260"/>
        <item x="259"/>
        <item x="196"/>
        <item x="34"/>
        <item x="161"/>
        <item x="33"/>
        <item x="218"/>
        <item x="227"/>
        <item x="234"/>
        <item x="96"/>
        <item x="74"/>
        <item x="198"/>
        <item x="276"/>
        <item x="164"/>
        <item x="135"/>
        <item x="275"/>
        <item x="222"/>
        <item x="186"/>
        <item x="187"/>
        <item x="185"/>
        <item x="127"/>
        <item x="137"/>
        <item x="250"/>
        <item x="1"/>
        <item x="19"/>
        <item x="119"/>
        <item x="184"/>
        <item x="226"/>
        <item x="30"/>
        <item x="97"/>
        <item x="123"/>
        <item x="47"/>
        <item x="160"/>
        <item x="172"/>
        <item x="271"/>
        <item x="55"/>
        <item x="149"/>
        <item x="270"/>
        <item x="31"/>
        <item x="15"/>
        <item x="182"/>
        <item x="159"/>
        <item x="88"/>
        <item x="257"/>
        <item x="92"/>
        <item x="248"/>
        <item t="default"/>
      </items>
    </pivotField>
    <pivotField compact="0" numFmtId="14" outline="0" showAll="0">
      <items count="249">
        <item x="156"/>
        <item x="10"/>
        <item x="215"/>
        <item x="203"/>
        <item x="223"/>
        <item x="213"/>
        <item x="69"/>
        <item x="35"/>
        <item x="5"/>
        <item x="59"/>
        <item x="99"/>
        <item x="125"/>
        <item x="81"/>
        <item x="104"/>
        <item x="157"/>
        <item x="181"/>
        <item x="107"/>
        <item x="60"/>
        <item x="16"/>
        <item x="221"/>
        <item x="174"/>
        <item x="234"/>
        <item x="111"/>
        <item x="212"/>
        <item x="98"/>
        <item x="105"/>
        <item x="225"/>
        <item x="115"/>
        <item x="71"/>
        <item x="38"/>
        <item x="58"/>
        <item x="32"/>
        <item x="199"/>
        <item x="193"/>
        <item x="238"/>
        <item x="43"/>
        <item x="90"/>
        <item x="151"/>
        <item x="128"/>
        <item x="239"/>
        <item x="132"/>
        <item x="11"/>
        <item x="136"/>
        <item x="22"/>
        <item x="148"/>
        <item x="23"/>
        <item x="33"/>
        <item x="218"/>
        <item x="97"/>
        <item x="230"/>
        <item x="184"/>
        <item x="61"/>
        <item x="50"/>
        <item x="198"/>
        <item x="102"/>
        <item x="56"/>
        <item x="183"/>
        <item x="93"/>
        <item x="214"/>
        <item x="124"/>
        <item x="117"/>
        <item x="170"/>
        <item x="3"/>
        <item x="26"/>
        <item x="118"/>
        <item x="130"/>
        <item x="201"/>
        <item x="53"/>
        <item x="113"/>
        <item x="45"/>
        <item x="143"/>
        <item x="15"/>
        <item x="100"/>
        <item x="162"/>
        <item x="34"/>
        <item x="241"/>
        <item x="137"/>
        <item x="233"/>
        <item x="36"/>
        <item x="161"/>
        <item x="37"/>
        <item x="196"/>
        <item x="211"/>
        <item x="152"/>
        <item x="154"/>
        <item x="54"/>
        <item x="29"/>
        <item x="64"/>
        <item x="74"/>
        <item x="17"/>
        <item x="62"/>
        <item x="247"/>
        <item x="206"/>
        <item x="40"/>
        <item x="44"/>
        <item x="73"/>
        <item x="127"/>
        <item x="194"/>
        <item x="165"/>
        <item x="65"/>
        <item x="12"/>
        <item x="94"/>
        <item x="175"/>
        <item x="2"/>
        <item x="210"/>
        <item x="200"/>
        <item x="195"/>
        <item x="75"/>
        <item x="185"/>
        <item x="9"/>
        <item x="245"/>
        <item x="138"/>
        <item x="227"/>
        <item x="207"/>
        <item x="31"/>
        <item x="237"/>
        <item x="172"/>
        <item x="163"/>
        <item x="173"/>
        <item x="159"/>
        <item x="68"/>
        <item x="220"/>
        <item x="182"/>
        <item x="187"/>
        <item x="158"/>
        <item x="95"/>
        <item x="96"/>
        <item x="236"/>
        <item x="49"/>
        <item x="202"/>
        <item x="91"/>
        <item x="191"/>
        <item x="197"/>
        <item x="126"/>
        <item x="216"/>
        <item x="51"/>
        <item x="72"/>
        <item x="131"/>
        <item x="129"/>
        <item x="171"/>
        <item x="1"/>
        <item x="57"/>
        <item x="123"/>
        <item x="55"/>
        <item x="186"/>
        <item x="80"/>
        <item x="46"/>
        <item x="47"/>
        <item x="146"/>
        <item x="121"/>
        <item x="122"/>
        <item x="224"/>
        <item x="189"/>
        <item x="235"/>
        <item x="19"/>
        <item x="219"/>
        <item x="179"/>
        <item x="208"/>
        <item x="70"/>
        <item x="134"/>
        <item x="120"/>
        <item x="217"/>
        <item x="20"/>
        <item x="116"/>
        <item x="232"/>
        <item x="85"/>
        <item x="14"/>
        <item x="83"/>
        <item x="209"/>
        <item x="133"/>
        <item x="139"/>
        <item x="119"/>
        <item x="180"/>
        <item x="142"/>
        <item x="92"/>
        <item x="178"/>
        <item x="192"/>
        <item x="39"/>
        <item x="77"/>
        <item x="231"/>
        <item x="140"/>
        <item x="25"/>
        <item x="76"/>
        <item x="18"/>
        <item x="243"/>
        <item x="153"/>
        <item x="141"/>
        <item x="101"/>
        <item x="0"/>
        <item x="226"/>
        <item x="244"/>
        <item x="21"/>
        <item x="188"/>
        <item x="150"/>
        <item x="145"/>
        <item x="88"/>
        <item x="52"/>
        <item x="109"/>
        <item x="8"/>
        <item x="155"/>
        <item x="13"/>
        <item x="166"/>
        <item x="190"/>
        <item x="86"/>
        <item x="176"/>
        <item x="4"/>
        <item x="240"/>
        <item x="30"/>
        <item x="177"/>
        <item x="79"/>
        <item x="110"/>
        <item x="144"/>
        <item x="41"/>
        <item x="168"/>
        <item x="67"/>
        <item x="63"/>
        <item x="6"/>
        <item x="228"/>
        <item x="89"/>
        <item x="7"/>
        <item x="204"/>
        <item x="222"/>
        <item x="103"/>
        <item x="160"/>
        <item x="135"/>
        <item x="82"/>
        <item x="164"/>
        <item x="48"/>
        <item x="112"/>
        <item x="108"/>
        <item x="149"/>
        <item x="84"/>
        <item x="242"/>
        <item x="28"/>
        <item x="147"/>
        <item x="205"/>
        <item x="24"/>
        <item x="87"/>
        <item x="229"/>
        <item x="106"/>
        <item x="246"/>
        <item x="66"/>
        <item x="42"/>
        <item x="167"/>
        <item x="169"/>
        <item x="114"/>
        <item x="27"/>
        <item x="78"/>
        <item t="default"/>
      </items>
    </pivotField>
    <pivotField compact="0" outline="0" showAll="0"/>
    <pivotField compact="0" outline="0" showAll="0"/>
    <pivotField compact="0" numFmtId="166" outline="0" showAll="0">
      <items count="301">
        <item x="126"/>
        <item x="182"/>
        <item x="166"/>
        <item x="130"/>
        <item x="21"/>
        <item x="226"/>
        <item x="54"/>
        <item x="150"/>
        <item x="259"/>
        <item x="129"/>
        <item x="271"/>
        <item x="161"/>
        <item x="82"/>
        <item x="43"/>
        <item x="29"/>
        <item x="28"/>
        <item x="57"/>
        <item x="44"/>
        <item x="256"/>
        <item x="148"/>
        <item x="0"/>
        <item x="285"/>
        <item x="196"/>
        <item x="251"/>
        <item x="10"/>
        <item x="26"/>
        <item x="141"/>
        <item x="184"/>
        <item x="8"/>
        <item x="275"/>
        <item x="90"/>
        <item x="15"/>
        <item x="254"/>
        <item x="42"/>
        <item x="197"/>
        <item x="239"/>
        <item x="128"/>
        <item x="74"/>
        <item x="22"/>
        <item x="158"/>
        <item x="200"/>
        <item x="92"/>
        <item x="279"/>
        <item x="189"/>
        <item x="237"/>
        <item x="274"/>
        <item x="115"/>
        <item x="47"/>
        <item x="87"/>
        <item x="49"/>
        <item x="84"/>
        <item x="216"/>
        <item x="246"/>
        <item x="70"/>
        <item x="162"/>
        <item x="219"/>
        <item x="261"/>
        <item x="35"/>
        <item x="125"/>
        <item x="24"/>
        <item x="100"/>
        <item x="63"/>
        <item x="228"/>
        <item x="187"/>
        <item x="48"/>
        <item x="295"/>
        <item x="191"/>
        <item x="120"/>
        <item x="257"/>
        <item x="273"/>
        <item x="222"/>
        <item x="265"/>
        <item x="165"/>
        <item x="78"/>
        <item x="291"/>
        <item x="193"/>
        <item x="18"/>
        <item x="117"/>
        <item x="268"/>
        <item x="183"/>
        <item x="30"/>
        <item x="185"/>
        <item x="121"/>
        <item x="155"/>
        <item x="283"/>
        <item x="32"/>
        <item x="211"/>
        <item x="3"/>
        <item x="157"/>
        <item x="160"/>
        <item x="252"/>
        <item x="71"/>
        <item x="176"/>
        <item x="233"/>
        <item x="17"/>
        <item x="156"/>
        <item x="91"/>
        <item x="180"/>
        <item x="255"/>
        <item x="282"/>
        <item x="93"/>
        <item x="85"/>
        <item x="61"/>
        <item x="241"/>
        <item x="7"/>
        <item x="55"/>
        <item x="65"/>
        <item x="264"/>
        <item x="37"/>
        <item x="248"/>
        <item x="174"/>
        <item x="68"/>
        <item x="16"/>
        <item x="97"/>
        <item x="296"/>
        <item x="195"/>
        <item x="170"/>
        <item x="51"/>
        <item x="250"/>
        <item x="41"/>
        <item x="116"/>
        <item x="223"/>
        <item x="36"/>
        <item x="151"/>
        <item x="159"/>
        <item x="202"/>
        <item x="86"/>
        <item x="169"/>
        <item x="284"/>
        <item x="262"/>
        <item x="236"/>
        <item x="243"/>
        <item x="40"/>
        <item x="171"/>
        <item x="80"/>
        <item x="132"/>
        <item x="289"/>
        <item x="25"/>
        <item x="13"/>
        <item x="105"/>
        <item x="5"/>
        <item x="144"/>
        <item x="294"/>
        <item x="140"/>
        <item x="52"/>
        <item x="177"/>
        <item x="249"/>
        <item x="96"/>
        <item x="102"/>
        <item x="288"/>
        <item x="27"/>
        <item x="190"/>
        <item x="38"/>
        <item x="208"/>
        <item x="62"/>
        <item x="218"/>
        <item x="149"/>
        <item x="104"/>
        <item x="154"/>
        <item x="114"/>
        <item x="297"/>
        <item x="20"/>
        <item x="163"/>
        <item x="281"/>
        <item x="240"/>
        <item x="11"/>
        <item x="67"/>
        <item x="147"/>
        <item x="153"/>
        <item x="258"/>
        <item x="179"/>
        <item x="31"/>
        <item x="133"/>
        <item x="164"/>
        <item x="280"/>
        <item x="299"/>
        <item x="98"/>
        <item x="75"/>
        <item x="33"/>
        <item x="270"/>
        <item x="136"/>
        <item x="230"/>
        <item x="137"/>
        <item x="94"/>
        <item x="267"/>
        <item x="60"/>
        <item x="112"/>
        <item x="188"/>
        <item x="276"/>
        <item x="95"/>
        <item x="231"/>
        <item x="181"/>
        <item x="111"/>
        <item x="66"/>
        <item x="76"/>
        <item x="56"/>
        <item x="206"/>
        <item x="72"/>
        <item x="134"/>
        <item x="263"/>
        <item x="260"/>
        <item x="207"/>
        <item x="145"/>
        <item x="1"/>
        <item x="213"/>
        <item x="173"/>
        <item x="209"/>
        <item x="192"/>
        <item x="234"/>
        <item x="14"/>
        <item x="106"/>
        <item x="227"/>
        <item x="220"/>
        <item x="113"/>
        <item x="204"/>
        <item x="110"/>
        <item x="99"/>
        <item x="232"/>
        <item x="83"/>
        <item x="124"/>
        <item x="238"/>
        <item x="46"/>
        <item x="9"/>
        <item x="77"/>
        <item x="73"/>
        <item x="88"/>
        <item x="168"/>
        <item x="108"/>
        <item x="19"/>
        <item x="81"/>
        <item x="278"/>
        <item x="119"/>
        <item x="229"/>
        <item x="194"/>
        <item x="198"/>
        <item x="127"/>
        <item x="298"/>
        <item x="69"/>
        <item x="212"/>
        <item x="286"/>
        <item x="167"/>
        <item x="266"/>
        <item x="142"/>
        <item x="235"/>
        <item x="186"/>
        <item x="143"/>
        <item x="221"/>
        <item x="131"/>
        <item x="215"/>
        <item x="199"/>
        <item x="178"/>
        <item x="118"/>
        <item x="175"/>
        <item x="172"/>
        <item x="253"/>
        <item x="79"/>
        <item x="214"/>
        <item x="201"/>
        <item x="103"/>
        <item x="290"/>
        <item x="203"/>
        <item x="89"/>
        <item x="242"/>
        <item x="39"/>
        <item x="109"/>
        <item x="245"/>
        <item x="205"/>
        <item x="247"/>
        <item x="45"/>
        <item x="107"/>
        <item x="6"/>
        <item x="293"/>
        <item x="2"/>
        <item x="269"/>
        <item x="224"/>
        <item x="53"/>
        <item x="64"/>
        <item x="23"/>
        <item x="287"/>
        <item x="50"/>
        <item x="34"/>
        <item x="58"/>
        <item x="146"/>
        <item x="139"/>
        <item x="225"/>
        <item x="272"/>
        <item x="210"/>
        <item x="123"/>
        <item x="217"/>
        <item x="59"/>
        <item x="152"/>
        <item x="135"/>
        <item x="244"/>
        <item x="101"/>
        <item x="138"/>
        <item x="277"/>
        <item x="292"/>
        <item x="4"/>
        <item x="12"/>
        <item x="122"/>
        <item t="default"/>
      </items>
    </pivotField>
    <pivotField axis="axisRow" compact="0" outline="0" showAll="0">
      <items count="6">
        <item h="1" x="3"/>
        <item h="1" x="4"/>
        <item x="1"/>
        <item h="1" x="2"/>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items count="8">
        <item h="1" x="1"/>
        <item h="1" x="2"/>
        <item h="1" x="4"/>
        <item h="1" x="0"/>
        <item x="3"/>
        <item h="1" x="5"/>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v="2"/>
    </i>
    <i t="grand">
      <x/>
    </i>
  </rowItems>
  <colItems count="1">
    <i/>
  </colItems>
  <dataFields count="1">
    <dataField name="Count of Emp ID Clea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13C375-38A7-4964-B452-17215C251891}" name="Dept Wise Status"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2:D6" firstHeaderRow="1" firstDataRow="2" firstDataCol="1"/>
  <pivotFields count="27">
    <pivotField dataField="1" compact="0" outline="0" showAll="0" defaultSubtotal="0"/>
    <pivotField compact="0" outline="0" showAll="0" defaultSubtotal="0"/>
    <pivotField axis="axisRow" compact="0" outline="0" showAll="0" defaultSubtotal="0">
      <items count="4">
        <item x="1"/>
        <item x="2"/>
        <item x="0"/>
        <item x="3"/>
      </items>
    </pivotField>
    <pivotField compact="0" numFmtId="14" outline="0" showAll="0" defaultSubtotal="0">
      <items count="278">
        <item x="49"/>
        <item x="173"/>
        <item x="220"/>
        <item x="174"/>
        <item x="190"/>
        <item x="29"/>
        <item x="10"/>
        <item x="221"/>
        <item x="61"/>
        <item x="43"/>
        <item x="138"/>
        <item x="139"/>
        <item x="165"/>
        <item x="117"/>
        <item x="240"/>
        <item x="11"/>
        <item x="244"/>
        <item x="230"/>
        <item x="25"/>
        <item x="242"/>
        <item x="78"/>
        <item x="225"/>
        <item x="110"/>
        <item x="39"/>
        <item x="201"/>
        <item x="16"/>
        <item x="66"/>
        <item x="146"/>
        <item x="91"/>
        <item x="223"/>
        <item x="131"/>
        <item x="36"/>
        <item x="241"/>
        <item x="56"/>
        <item x="125"/>
        <item x="120"/>
        <item x="231"/>
        <item x="68"/>
        <item x="262"/>
        <item x="111"/>
        <item x="73"/>
        <item x="249"/>
        <item x="251"/>
        <item x="5"/>
        <item x="109"/>
        <item x="104"/>
        <item x="193"/>
        <item x="67"/>
        <item x="189"/>
        <item x="24"/>
        <item x="85"/>
        <item x="84"/>
        <item x="141"/>
        <item x="207"/>
        <item x="65"/>
        <item x="183"/>
        <item x="59"/>
        <item x="18"/>
        <item x="214"/>
        <item x="219"/>
        <item x="277"/>
        <item x="122"/>
        <item x="266"/>
        <item x="100"/>
        <item x="143"/>
        <item x="156"/>
        <item x="107"/>
        <item x="17"/>
        <item x="77"/>
        <item x="158"/>
        <item x="253"/>
        <item x="114"/>
        <item x="274"/>
        <item x="136"/>
        <item x="75"/>
        <item x="42"/>
        <item x="41"/>
        <item x="170"/>
        <item x="69"/>
        <item x="224"/>
        <item x="252"/>
        <item x="13"/>
        <item x="62"/>
        <item x="255"/>
        <item x="38"/>
        <item x="95"/>
        <item x="48"/>
        <item x="261"/>
        <item x="233"/>
        <item x="129"/>
        <item x="145"/>
        <item x="203"/>
        <item x="263"/>
        <item x="268"/>
        <item x="118"/>
        <item x="112"/>
        <item x="140"/>
        <item x="57"/>
        <item x="60"/>
        <item x="3"/>
        <item x="79"/>
        <item x="229"/>
        <item x="205"/>
        <item x="243"/>
        <item x="267"/>
        <item x="82"/>
        <item x="163"/>
        <item x="32"/>
        <item x="155"/>
        <item x="80"/>
        <item x="89"/>
        <item x="162"/>
        <item x="35"/>
        <item x="58"/>
        <item x="217"/>
        <item x="6"/>
        <item x="265"/>
        <item x="37"/>
        <item x="70"/>
        <item x="206"/>
        <item x="52"/>
        <item x="150"/>
        <item x="232"/>
        <item x="152"/>
        <item x="83"/>
        <item x="93"/>
        <item x="63"/>
        <item x="167"/>
        <item x="179"/>
        <item x="166"/>
        <item x="180"/>
        <item x="192"/>
        <item x="258"/>
        <item x="144"/>
        <item x="105"/>
        <item x="27"/>
        <item x="23"/>
        <item x="28"/>
        <item x="215"/>
        <item x="202"/>
        <item x="148"/>
        <item x="212"/>
        <item x="272"/>
        <item x="50"/>
        <item x="200"/>
        <item x="130"/>
        <item x="81"/>
        <item x="209"/>
        <item x="208"/>
        <item x="9"/>
        <item x="151"/>
        <item x="236"/>
        <item x="126"/>
        <item x="238"/>
        <item x="45"/>
        <item x="102"/>
        <item x="169"/>
        <item x="191"/>
        <item x="188"/>
        <item x="4"/>
        <item x="53"/>
        <item x="98"/>
        <item x="108"/>
        <item x="90"/>
        <item x="51"/>
        <item x="213"/>
        <item x="142"/>
        <item x="264"/>
        <item x="113"/>
        <item x="254"/>
        <item x="256"/>
        <item x="0"/>
        <item x="237"/>
        <item x="246"/>
        <item x="273"/>
        <item x="128"/>
        <item x="124"/>
        <item x="235"/>
        <item x="147"/>
        <item x="72"/>
        <item x="211"/>
        <item x="106"/>
        <item x="210"/>
        <item x="21"/>
        <item x="40"/>
        <item x="115"/>
        <item x="153"/>
        <item x="177"/>
        <item x="178"/>
        <item x="71"/>
        <item x="7"/>
        <item x="99"/>
        <item x="204"/>
        <item x="168"/>
        <item x="103"/>
        <item x="121"/>
        <item x="176"/>
        <item x="20"/>
        <item x="54"/>
        <item x="116"/>
        <item x="269"/>
        <item x="154"/>
        <item x="157"/>
        <item x="12"/>
        <item x="199"/>
        <item x="216"/>
        <item x="46"/>
        <item x="76"/>
        <item x="194"/>
        <item x="86"/>
        <item x="181"/>
        <item x="197"/>
        <item x="2"/>
        <item x="134"/>
        <item x="175"/>
        <item x="22"/>
        <item x="87"/>
        <item x="94"/>
        <item x="171"/>
        <item x="8"/>
        <item x="14"/>
        <item x="133"/>
        <item x="239"/>
        <item x="101"/>
        <item x="245"/>
        <item x="247"/>
        <item x="228"/>
        <item x="64"/>
        <item x="44"/>
        <item x="132"/>
        <item x="195"/>
        <item x="26"/>
        <item x="260"/>
        <item x="259"/>
        <item x="196"/>
        <item x="34"/>
        <item x="161"/>
        <item x="33"/>
        <item x="218"/>
        <item x="227"/>
        <item x="234"/>
        <item x="96"/>
        <item x="74"/>
        <item x="198"/>
        <item x="276"/>
        <item x="164"/>
        <item x="135"/>
        <item x="275"/>
        <item x="222"/>
        <item x="186"/>
        <item x="187"/>
        <item x="185"/>
        <item x="127"/>
        <item x="137"/>
        <item x="250"/>
        <item x="1"/>
        <item x="19"/>
        <item x="119"/>
        <item x="184"/>
        <item x="226"/>
        <item x="30"/>
        <item x="97"/>
        <item x="123"/>
        <item x="47"/>
        <item x="160"/>
        <item x="172"/>
        <item x="271"/>
        <item x="55"/>
        <item x="149"/>
        <item x="270"/>
        <item x="31"/>
        <item x="15"/>
        <item x="182"/>
        <item x="159"/>
        <item x="88"/>
        <item x="257"/>
        <item x="92"/>
        <item x="248"/>
      </items>
    </pivotField>
    <pivotField compact="0" numFmtId="14" outline="0" showAll="0" defaultSubtotal="0">
      <items count="248">
        <item x="156"/>
        <item x="10"/>
        <item x="215"/>
        <item x="203"/>
        <item x="223"/>
        <item x="213"/>
        <item x="69"/>
        <item x="35"/>
        <item x="5"/>
        <item x="59"/>
        <item x="99"/>
        <item x="125"/>
        <item x="81"/>
        <item x="104"/>
        <item x="157"/>
        <item x="181"/>
        <item x="107"/>
        <item x="60"/>
        <item x="16"/>
        <item x="221"/>
        <item x="174"/>
        <item x="234"/>
        <item x="111"/>
        <item x="212"/>
        <item x="98"/>
        <item x="105"/>
        <item x="225"/>
        <item x="115"/>
        <item x="71"/>
        <item x="38"/>
        <item x="58"/>
        <item x="32"/>
        <item x="199"/>
        <item x="193"/>
        <item x="238"/>
        <item x="43"/>
        <item x="90"/>
        <item x="151"/>
        <item x="128"/>
        <item x="239"/>
        <item x="132"/>
        <item x="11"/>
        <item x="136"/>
        <item x="22"/>
        <item x="148"/>
        <item x="23"/>
        <item x="33"/>
        <item x="218"/>
        <item x="97"/>
        <item x="230"/>
        <item x="184"/>
        <item x="61"/>
        <item x="50"/>
        <item x="198"/>
        <item x="102"/>
        <item x="56"/>
        <item x="183"/>
        <item x="93"/>
        <item x="214"/>
        <item x="124"/>
        <item x="117"/>
        <item x="170"/>
        <item x="3"/>
        <item x="26"/>
        <item x="118"/>
        <item x="130"/>
        <item x="201"/>
        <item x="53"/>
        <item x="113"/>
        <item x="45"/>
        <item x="143"/>
        <item x="15"/>
        <item x="100"/>
        <item x="162"/>
        <item x="34"/>
        <item x="241"/>
        <item x="137"/>
        <item x="233"/>
        <item x="36"/>
        <item x="161"/>
        <item x="37"/>
        <item x="196"/>
        <item x="211"/>
        <item x="152"/>
        <item x="154"/>
        <item x="54"/>
        <item x="29"/>
        <item x="64"/>
        <item x="74"/>
        <item x="17"/>
        <item x="62"/>
        <item x="247"/>
        <item x="206"/>
        <item x="40"/>
        <item x="44"/>
        <item x="73"/>
        <item x="127"/>
        <item x="194"/>
        <item x="165"/>
        <item x="65"/>
        <item x="12"/>
        <item x="94"/>
        <item x="175"/>
        <item x="2"/>
        <item x="210"/>
        <item x="200"/>
        <item x="195"/>
        <item x="75"/>
        <item x="185"/>
        <item x="9"/>
        <item x="245"/>
        <item x="138"/>
        <item x="227"/>
        <item x="207"/>
        <item x="31"/>
        <item x="237"/>
        <item x="172"/>
        <item x="163"/>
        <item x="173"/>
        <item x="159"/>
        <item x="68"/>
        <item x="220"/>
        <item x="182"/>
        <item x="187"/>
        <item x="158"/>
        <item x="95"/>
        <item x="96"/>
        <item x="236"/>
        <item x="49"/>
        <item x="202"/>
        <item x="91"/>
        <item x="191"/>
        <item x="197"/>
        <item x="126"/>
        <item x="216"/>
        <item x="51"/>
        <item x="72"/>
        <item x="131"/>
        <item x="129"/>
        <item x="171"/>
        <item x="1"/>
        <item x="57"/>
        <item x="123"/>
        <item x="55"/>
        <item x="186"/>
        <item x="80"/>
        <item x="46"/>
        <item x="47"/>
        <item x="146"/>
        <item x="121"/>
        <item x="122"/>
        <item x="224"/>
        <item x="189"/>
        <item x="235"/>
        <item x="19"/>
        <item x="219"/>
        <item x="179"/>
        <item x="208"/>
        <item x="70"/>
        <item x="134"/>
        <item x="120"/>
        <item x="217"/>
        <item x="20"/>
        <item x="116"/>
        <item x="232"/>
        <item x="85"/>
        <item x="14"/>
        <item x="83"/>
        <item x="209"/>
        <item x="133"/>
        <item x="139"/>
        <item x="119"/>
        <item x="180"/>
        <item x="142"/>
        <item x="92"/>
        <item x="178"/>
        <item x="192"/>
        <item x="39"/>
        <item x="77"/>
        <item x="231"/>
        <item x="140"/>
        <item x="25"/>
        <item x="76"/>
        <item x="18"/>
        <item x="243"/>
        <item x="153"/>
        <item x="141"/>
        <item x="101"/>
        <item x="0"/>
        <item x="226"/>
        <item x="244"/>
        <item x="21"/>
        <item x="188"/>
        <item x="150"/>
        <item x="145"/>
        <item x="88"/>
        <item x="52"/>
        <item x="109"/>
        <item x="8"/>
        <item x="155"/>
        <item x="13"/>
        <item x="166"/>
        <item x="190"/>
        <item x="86"/>
        <item x="176"/>
        <item x="4"/>
        <item x="240"/>
        <item x="30"/>
        <item x="177"/>
        <item x="79"/>
        <item x="110"/>
        <item x="144"/>
        <item x="41"/>
        <item x="168"/>
        <item x="67"/>
        <item x="63"/>
        <item x="6"/>
        <item x="228"/>
        <item x="89"/>
        <item x="7"/>
        <item x="204"/>
        <item x="222"/>
        <item x="103"/>
        <item x="160"/>
        <item x="135"/>
        <item x="82"/>
        <item x="164"/>
        <item x="48"/>
        <item x="112"/>
        <item x="108"/>
        <item x="149"/>
        <item x="84"/>
        <item x="242"/>
        <item x="28"/>
        <item x="147"/>
        <item x="205"/>
        <item x="24"/>
        <item x="87"/>
        <item x="229"/>
        <item x="106"/>
        <item x="246"/>
        <item x="66"/>
        <item x="42"/>
        <item x="167"/>
        <item x="169"/>
        <item x="114"/>
        <item x="27"/>
        <item x="78"/>
      </items>
    </pivotField>
    <pivotField compact="0" outline="0" showAll="0" defaultSubtotal="0"/>
    <pivotField compact="0" outline="0" showAll="0" defaultSubtotal="0"/>
    <pivotField compact="0" numFmtId="166" outline="0" showAll="0" defaultSubtotal="0">
      <items count="300">
        <item x="126"/>
        <item x="182"/>
        <item x="166"/>
        <item x="130"/>
        <item x="21"/>
        <item x="226"/>
        <item x="54"/>
        <item x="150"/>
        <item x="259"/>
        <item x="129"/>
        <item x="271"/>
        <item x="161"/>
        <item x="82"/>
        <item x="43"/>
        <item x="29"/>
        <item x="28"/>
        <item x="57"/>
        <item x="44"/>
        <item x="256"/>
        <item x="148"/>
        <item x="0"/>
        <item x="285"/>
        <item x="196"/>
        <item x="251"/>
        <item x="10"/>
        <item x="26"/>
        <item x="141"/>
        <item x="184"/>
        <item x="8"/>
        <item x="275"/>
        <item x="90"/>
        <item x="15"/>
        <item x="254"/>
        <item x="42"/>
        <item x="197"/>
        <item x="239"/>
        <item x="128"/>
        <item x="74"/>
        <item x="22"/>
        <item x="158"/>
        <item x="200"/>
        <item x="92"/>
        <item x="279"/>
        <item x="189"/>
        <item x="237"/>
        <item x="274"/>
        <item x="115"/>
        <item x="47"/>
        <item x="87"/>
        <item x="49"/>
        <item x="84"/>
        <item x="216"/>
        <item x="246"/>
        <item x="70"/>
        <item x="162"/>
        <item x="219"/>
        <item x="261"/>
        <item x="35"/>
        <item x="125"/>
        <item x="24"/>
        <item x="100"/>
        <item x="63"/>
        <item x="228"/>
        <item x="187"/>
        <item x="48"/>
        <item x="295"/>
        <item x="191"/>
        <item x="120"/>
        <item x="257"/>
        <item x="273"/>
        <item x="222"/>
        <item x="265"/>
        <item x="165"/>
        <item x="78"/>
        <item x="291"/>
        <item x="193"/>
        <item x="18"/>
        <item x="117"/>
        <item x="268"/>
        <item x="183"/>
        <item x="30"/>
        <item x="185"/>
        <item x="121"/>
        <item x="155"/>
        <item x="283"/>
        <item x="32"/>
        <item x="211"/>
        <item x="3"/>
        <item x="157"/>
        <item x="160"/>
        <item x="252"/>
        <item x="71"/>
        <item x="176"/>
        <item x="233"/>
        <item x="17"/>
        <item x="156"/>
        <item x="91"/>
        <item x="180"/>
        <item x="255"/>
        <item x="282"/>
        <item x="93"/>
        <item x="85"/>
        <item x="61"/>
        <item x="241"/>
        <item x="7"/>
        <item x="55"/>
        <item x="65"/>
        <item x="264"/>
        <item x="37"/>
        <item x="248"/>
        <item x="174"/>
        <item x="68"/>
        <item x="16"/>
        <item x="97"/>
        <item x="296"/>
        <item x="195"/>
        <item x="170"/>
        <item x="51"/>
        <item x="250"/>
        <item x="41"/>
        <item x="116"/>
        <item x="223"/>
        <item x="36"/>
        <item x="151"/>
        <item x="159"/>
        <item x="202"/>
        <item x="86"/>
        <item x="169"/>
        <item x="284"/>
        <item x="262"/>
        <item x="236"/>
        <item x="243"/>
        <item x="40"/>
        <item x="171"/>
        <item x="80"/>
        <item x="132"/>
        <item x="289"/>
        <item x="25"/>
        <item x="13"/>
        <item x="105"/>
        <item x="5"/>
        <item x="144"/>
        <item x="294"/>
        <item x="140"/>
        <item x="52"/>
        <item x="177"/>
        <item x="249"/>
        <item x="96"/>
        <item x="102"/>
        <item x="288"/>
        <item x="27"/>
        <item x="190"/>
        <item x="38"/>
        <item x="208"/>
        <item x="62"/>
        <item x="218"/>
        <item x="149"/>
        <item x="104"/>
        <item x="154"/>
        <item x="114"/>
        <item x="297"/>
        <item x="20"/>
        <item x="163"/>
        <item x="281"/>
        <item x="240"/>
        <item x="11"/>
        <item x="67"/>
        <item x="147"/>
        <item x="153"/>
        <item x="258"/>
        <item x="179"/>
        <item x="31"/>
        <item x="133"/>
        <item x="164"/>
        <item x="280"/>
        <item x="299"/>
        <item x="98"/>
        <item x="75"/>
        <item x="33"/>
        <item x="270"/>
        <item x="136"/>
        <item x="230"/>
        <item x="137"/>
        <item x="94"/>
        <item x="267"/>
        <item x="60"/>
        <item x="112"/>
        <item x="188"/>
        <item x="276"/>
        <item x="95"/>
        <item x="231"/>
        <item x="181"/>
        <item x="111"/>
        <item x="66"/>
        <item x="76"/>
        <item x="56"/>
        <item x="206"/>
        <item x="72"/>
        <item x="134"/>
        <item x="263"/>
        <item x="260"/>
        <item x="207"/>
        <item x="145"/>
        <item x="1"/>
        <item x="213"/>
        <item x="173"/>
        <item x="209"/>
        <item x="192"/>
        <item x="234"/>
        <item x="14"/>
        <item x="106"/>
        <item x="227"/>
        <item x="220"/>
        <item x="113"/>
        <item x="204"/>
        <item x="110"/>
        <item x="99"/>
        <item x="232"/>
        <item x="83"/>
        <item x="124"/>
        <item x="238"/>
        <item x="46"/>
        <item x="9"/>
        <item x="77"/>
        <item x="73"/>
        <item x="88"/>
        <item x="168"/>
        <item x="108"/>
        <item x="19"/>
        <item x="81"/>
        <item x="278"/>
        <item x="119"/>
        <item x="229"/>
        <item x="194"/>
        <item x="198"/>
        <item x="127"/>
        <item x="298"/>
        <item x="69"/>
        <item x="212"/>
        <item x="286"/>
        <item x="167"/>
        <item x="266"/>
        <item x="142"/>
        <item x="235"/>
        <item x="186"/>
        <item x="143"/>
        <item x="221"/>
        <item x="131"/>
        <item x="215"/>
        <item x="199"/>
        <item x="178"/>
        <item x="118"/>
        <item x="175"/>
        <item x="172"/>
        <item x="253"/>
        <item x="79"/>
        <item x="214"/>
        <item x="201"/>
        <item x="103"/>
        <item x="290"/>
        <item x="203"/>
        <item x="89"/>
        <item x="242"/>
        <item x="39"/>
        <item x="109"/>
        <item x="245"/>
        <item x="205"/>
        <item x="247"/>
        <item x="45"/>
        <item x="107"/>
        <item x="6"/>
        <item x="293"/>
        <item x="2"/>
        <item x="269"/>
        <item x="224"/>
        <item x="53"/>
        <item x="64"/>
        <item x="23"/>
        <item x="287"/>
        <item x="50"/>
        <item x="34"/>
        <item x="58"/>
        <item x="146"/>
        <item x="139"/>
        <item x="225"/>
        <item x="272"/>
        <item x="210"/>
        <item x="123"/>
        <item x="217"/>
        <item x="59"/>
        <item x="152"/>
        <item x="135"/>
        <item x="244"/>
        <item x="101"/>
        <item x="138"/>
        <item x="277"/>
        <item x="292"/>
        <item x="4"/>
        <item x="12"/>
        <item x="122"/>
      </items>
    </pivotField>
    <pivotField compact="0" outline="0" showAll="0" defaultSubtotal="0">
      <items count="5">
        <item h="1" x="3"/>
        <item h="1" x="4"/>
        <item x="1"/>
        <item h="1" x="2"/>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x="2"/>
        <item x="1"/>
        <item x="0"/>
      </items>
    </pivotField>
    <pivotField compact="0" outline="0" showAll="0" defaultSubtotal="0"/>
    <pivotField compact="0" outline="0" showAll="0" defaultSubtotal="0"/>
    <pivotField compact="0" outline="0" showAll="0" defaultSubtotal="0">
      <items count="7">
        <item h="1" x="1"/>
        <item h="1" x="2"/>
        <item h="1" x="4"/>
        <item h="1" x="0"/>
        <item x="3"/>
        <item h="1" x="5"/>
        <item h="1"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2"/>
  </rowFields>
  <rowItems count="3">
    <i>
      <x/>
    </i>
    <i>
      <x v="3"/>
    </i>
    <i t="grand">
      <x/>
    </i>
  </rowItems>
  <colFields count="1">
    <field x="15"/>
  </colFields>
  <colItems count="3">
    <i>
      <x/>
    </i>
    <i>
      <x v="2"/>
    </i>
    <i t="grand">
      <x/>
    </i>
  </colItems>
  <dataFields count="1">
    <dataField name="Count of Emp ID Clean" fld="0"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5" format="6" series="1">
      <pivotArea type="data" outline="0" fieldPosition="0">
        <references count="2">
          <reference field="4294967294" count="1" selected="0">
            <x v="0"/>
          </reference>
          <reference field="15" count="1" selected="0">
            <x v="0"/>
          </reference>
        </references>
      </pivotArea>
    </chartFormat>
    <chartFormat chart="5" format="7" series="1">
      <pivotArea type="data" outline="0" fieldPosition="0">
        <references count="2">
          <reference field="4294967294" count="1" selected="0">
            <x v="0"/>
          </reference>
          <reference field="15" count="1" selected="0">
            <x v="1"/>
          </reference>
        </references>
      </pivotArea>
    </chartFormat>
    <chartFormat chart="5" format="8" series="1">
      <pivotArea type="data" outline="0" fieldPosition="0">
        <references count="2">
          <reference field="4294967294" count="1" selected="0">
            <x v="0"/>
          </reference>
          <reference field="15"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95E5D8EF-7FC4-4197-94D3-DD3F92BF7EDD}" sourceName="Salary">
  <pivotTables>
    <pivotTable tabId="5" name="Manager_Headount"/>
    <pivotTable tabId="5" name="Dept Wise Status"/>
    <pivotTable tabId="5" name="Dept_Avg_Exper"/>
    <pivotTable tabId="5" name="Dept_Avg_Salary"/>
    <pivotTable tabId="5" name="Salary_Range_Headcount"/>
  </pivotTables>
  <data>
    <tabular pivotCacheId="1143856517">
      <items count="300">
        <i x="111" s="1"/>
        <i x="124" s="1"/>
        <i x="126" s="1" nd="1"/>
        <i x="182" s="1" nd="1"/>
        <i x="166" s="1" nd="1"/>
        <i x="130" s="1" nd="1"/>
        <i x="21" s="1" nd="1"/>
        <i x="226" s="1" nd="1"/>
        <i x="54" s="1" nd="1"/>
        <i x="150" s="1" nd="1"/>
        <i x="259" s="1" nd="1"/>
        <i x="129" s="1" nd="1"/>
        <i x="271" s="1" nd="1"/>
        <i x="161" s="1" nd="1"/>
        <i x="82" s="1" nd="1"/>
        <i x="43" s="1" nd="1"/>
        <i x="29" s="1" nd="1"/>
        <i x="28" s="1" nd="1"/>
        <i x="57" s="1" nd="1"/>
        <i x="44" s="1" nd="1"/>
        <i x="256" s="1" nd="1"/>
        <i x="148" s="1" nd="1"/>
        <i x="0" s="1" nd="1"/>
        <i x="285" s="1" nd="1"/>
        <i x="196" s="1" nd="1"/>
        <i x="251" s="1" nd="1"/>
        <i x="10" s="1" nd="1"/>
        <i x="26" s="1" nd="1"/>
        <i x="141" s="1" nd="1"/>
        <i x="184" s="1" nd="1"/>
        <i x="8" s="1" nd="1"/>
        <i x="275" s="1" nd="1"/>
        <i x="90" s="1" nd="1"/>
        <i x="15" s="1" nd="1"/>
        <i x="254" s="1" nd="1"/>
        <i x="42" s="1" nd="1"/>
        <i x="197" s="1" nd="1"/>
        <i x="239" s="1" nd="1"/>
        <i x="128" s="1" nd="1"/>
        <i x="74" s="1" nd="1"/>
        <i x="22" s="1" nd="1"/>
        <i x="158" s="1" nd="1"/>
        <i x="200" s="1" nd="1"/>
        <i x="92" s="1" nd="1"/>
        <i x="279" s="1" nd="1"/>
        <i x="189" s="1" nd="1"/>
        <i x="237" s="1" nd="1"/>
        <i x="274" s="1" nd="1"/>
        <i x="115" s="1" nd="1"/>
        <i x="47" s="1" nd="1"/>
        <i x="87" s="1" nd="1"/>
        <i x="49" s="1" nd="1"/>
        <i x="84" s="1" nd="1"/>
        <i x="216" s="1" nd="1"/>
        <i x="246" s="1" nd="1"/>
        <i x="70" s="1" nd="1"/>
        <i x="162" s="1" nd="1"/>
        <i x="219" s="1" nd="1"/>
        <i x="261" s="1" nd="1"/>
        <i x="35" s="1" nd="1"/>
        <i x="125" s="1" nd="1"/>
        <i x="24" s="1" nd="1"/>
        <i x="100" s="1" nd="1"/>
        <i x="63" s="1" nd="1"/>
        <i x="228" s="1" nd="1"/>
        <i x="187" s="1" nd="1"/>
        <i x="48" s="1" nd="1"/>
        <i x="295" s="1" nd="1"/>
        <i x="191" s="1" nd="1"/>
        <i x="120" s="1" nd="1"/>
        <i x="257" s="1" nd="1"/>
        <i x="273" s="1" nd="1"/>
        <i x="222" s="1" nd="1"/>
        <i x="265" s="1" nd="1"/>
        <i x="165" s="1" nd="1"/>
        <i x="78" s="1" nd="1"/>
        <i x="291" s="1" nd="1"/>
        <i x="193" s="1" nd="1"/>
        <i x="18" s="1" nd="1"/>
        <i x="117" s="1" nd="1"/>
        <i x="268" s="1" nd="1"/>
        <i x="183" s="1" nd="1"/>
        <i x="30" s="1" nd="1"/>
        <i x="185" s="1" nd="1"/>
        <i x="121" s="1" nd="1"/>
        <i x="155" s="1" nd="1"/>
        <i x="283" s="1" nd="1"/>
        <i x="32" s="1" nd="1"/>
        <i x="211" s="1" nd="1"/>
        <i x="3" s="1" nd="1"/>
        <i x="157" s="1" nd="1"/>
        <i x="160" s="1" nd="1"/>
        <i x="252" s="1" nd="1"/>
        <i x="71" s="1" nd="1"/>
        <i x="176" s="1" nd="1"/>
        <i x="233" s="1" nd="1"/>
        <i x="17" s="1" nd="1"/>
        <i x="156" s="1" nd="1"/>
        <i x="91" s="1" nd="1"/>
        <i x="180" s="1" nd="1"/>
        <i x="255" s="1" nd="1"/>
        <i x="282" s="1" nd="1"/>
        <i x="93" s="1" nd="1"/>
        <i x="85" s="1" nd="1"/>
        <i x="61" s="1" nd="1"/>
        <i x="241" s="1" nd="1"/>
        <i x="7" s="1" nd="1"/>
        <i x="55" s="1" nd="1"/>
        <i x="65" s="1" nd="1"/>
        <i x="264" s="1" nd="1"/>
        <i x="37" s="1" nd="1"/>
        <i x="248" s="1" nd="1"/>
        <i x="174" s="1" nd="1"/>
        <i x="68" s="1" nd="1"/>
        <i x="16" s="1" nd="1"/>
        <i x="97" s="1" nd="1"/>
        <i x="296" s="1" nd="1"/>
        <i x="195" s="1" nd="1"/>
        <i x="170" s="1" nd="1"/>
        <i x="51" s="1" nd="1"/>
        <i x="250" s="1" nd="1"/>
        <i x="41" s="1" nd="1"/>
        <i x="116" s="1" nd="1"/>
        <i x="223" s="1" nd="1"/>
        <i x="36" s="1" nd="1"/>
        <i x="151" s="1" nd="1"/>
        <i x="159" s="1" nd="1"/>
        <i x="202" s="1" nd="1"/>
        <i x="86" s="1" nd="1"/>
        <i x="169" s="1" nd="1"/>
        <i x="284" s="1" nd="1"/>
        <i x="262" s="1" nd="1"/>
        <i x="236" s="1" nd="1"/>
        <i x="243" s="1" nd="1"/>
        <i x="40" s="1" nd="1"/>
        <i x="171" s="1" nd="1"/>
        <i x="80" s="1" nd="1"/>
        <i x="132" s="1" nd="1"/>
        <i x="289" s="1" nd="1"/>
        <i x="25" s="1" nd="1"/>
        <i x="13" s="1" nd="1"/>
        <i x="105" s="1" nd="1"/>
        <i x="5" s="1" nd="1"/>
        <i x="144" s="1" nd="1"/>
        <i x="294" s="1" nd="1"/>
        <i x="140" s="1" nd="1"/>
        <i x="52" s="1" nd="1"/>
        <i x="177" s="1" nd="1"/>
        <i x="249" s="1" nd="1"/>
        <i x="96" s="1" nd="1"/>
        <i x="102" s="1" nd="1"/>
        <i x="288" s="1" nd="1"/>
        <i x="27" s="1" nd="1"/>
        <i x="190" s="1" nd="1"/>
        <i x="38" s="1" nd="1"/>
        <i x="208" s="1" nd="1"/>
        <i x="62" s="1" nd="1"/>
        <i x="218" s="1" nd="1"/>
        <i x="149" s="1" nd="1"/>
        <i x="104" s="1" nd="1"/>
        <i x="154" s="1" nd="1"/>
        <i x="114" s="1" nd="1"/>
        <i x="297" s="1" nd="1"/>
        <i x="20" s="1" nd="1"/>
        <i x="163" s="1" nd="1"/>
        <i x="281" s="1" nd="1"/>
        <i x="240" s="1" nd="1"/>
        <i x="11" s="1" nd="1"/>
        <i x="67" s="1" nd="1"/>
        <i x="147" s="1" nd="1"/>
        <i x="153" s="1" nd="1"/>
        <i x="258" s="1" nd="1"/>
        <i x="179" s="1" nd="1"/>
        <i x="31" s="1" nd="1"/>
        <i x="133" s="1" nd="1"/>
        <i x="164" s="1" nd="1"/>
        <i x="280" s="1" nd="1"/>
        <i x="299" s="1" nd="1"/>
        <i x="98" s="1" nd="1"/>
        <i x="75" s="1" nd="1"/>
        <i x="33" s="1" nd="1"/>
        <i x="270" s="1" nd="1"/>
        <i x="136" s="1" nd="1"/>
        <i x="230" s="1" nd="1"/>
        <i x="137" s="1" nd="1"/>
        <i x="94" s="1" nd="1"/>
        <i x="267" s="1" nd="1"/>
        <i x="60" s="1" nd="1"/>
        <i x="112" s="1" nd="1"/>
        <i x="188" s="1" nd="1"/>
        <i x="276" s="1" nd="1"/>
        <i x="95" s="1" nd="1"/>
        <i x="231" s="1" nd="1"/>
        <i x="181" s="1" nd="1"/>
        <i x="66" s="1" nd="1"/>
        <i x="76" s="1" nd="1"/>
        <i x="56" s="1" nd="1"/>
        <i x="206" s="1" nd="1"/>
        <i x="72" s="1" nd="1"/>
        <i x="134" s="1" nd="1"/>
        <i x="263" s="1" nd="1"/>
        <i x="260" s="1" nd="1"/>
        <i x="207" s="1" nd="1"/>
        <i x="145" s="1" nd="1"/>
        <i x="1" s="1" nd="1"/>
        <i x="213" s="1" nd="1"/>
        <i x="173" s="1" nd="1"/>
        <i x="209" s="1" nd="1"/>
        <i x="192" s="1" nd="1"/>
        <i x="234" s="1" nd="1"/>
        <i x="14" s="1" nd="1"/>
        <i x="106" s="1" nd="1"/>
        <i x="227" s="1" nd="1"/>
        <i x="220" s="1" nd="1"/>
        <i x="113" s="1" nd="1"/>
        <i x="204" s="1" nd="1"/>
        <i x="110" s="1" nd="1"/>
        <i x="99" s="1" nd="1"/>
        <i x="232" s="1" nd="1"/>
        <i x="83" s="1" nd="1"/>
        <i x="238" s="1" nd="1"/>
        <i x="46" s="1" nd="1"/>
        <i x="9" s="1" nd="1"/>
        <i x="77" s="1" nd="1"/>
        <i x="73" s="1" nd="1"/>
        <i x="88" s="1" nd="1"/>
        <i x="168" s="1" nd="1"/>
        <i x="108" s="1" nd="1"/>
        <i x="19" s="1" nd="1"/>
        <i x="81" s="1" nd="1"/>
        <i x="278" s="1" nd="1"/>
        <i x="119" s="1" nd="1"/>
        <i x="229" s="1" nd="1"/>
        <i x="194" s="1" nd="1"/>
        <i x="198" s="1" nd="1"/>
        <i x="127" s="1" nd="1"/>
        <i x="298" s="1" nd="1"/>
        <i x="69" s="1" nd="1"/>
        <i x="212" s="1" nd="1"/>
        <i x="286" s="1" nd="1"/>
        <i x="167" s="1" nd="1"/>
        <i x="266" s="1" nd="1"/>
        <i x="142" s="1" nd="1"/>
        <i x="235" s="1" nd="1"/>
        <i x="186" s="1" nd="1"/>
        <i x="143" s="1" nd="1"/>
        <i x="221" s="1" nd="1"/>
        <i x="131" s="1" nd="1"/>
        <i x="215" s="1" nd="1"/>
        <i x="199" s="1" nd="1"/>
        <i x="178" s="1" nd="1"/>
        <i x="118" s="1" nd="1"/>
        <i x="175" s="1" nd="1"/>
        <i x="172" s="1" nd="1"/>
        <i x="253" s="1" nd="1"/>
        <i x="79" s="1" nd="1"/>
        <i x="214" s="1" nd="1"/>
        <i x="201" s="1" nd="1"/>
        <i x="103" s="1" nd="1"/>
        <i x="290" s="1" nd="1"/>
        <i x="203" s="1" nd="1"/>
        <i x="89" s="1" nd="1"/>
        <i x="242" s="1" nd="1"/>
        <i x="39" s="1" nd="1"/>
        <i x="109" s="1" nd="1"/>
        <i x="245" s="1" nd="1"/>
        <i x="205" s="1" nd="1"/>
        <i x="247" s="1" nd="1"/>
        <i x="45" s="1" nd="1"/>
        <i x="107" s="1" nd="1"/>
        <i x="6" s="1" nd="1"/>
        <i x="293" s="1" nd="1"/>
        <i x="2" s="1" nd="1"/>
        <i x="269" s="1" nd="1"/>
        <i x="224" s="1" nd="1"/>
        <i x="53" s="1" nd="1"/>
        <i x="64" s="1" nd="1"/>
        <i x="23" s="1" nd="1"/>
        <i x="287" s="1" nd="1"/>
        <i x="50" s="1" nd="1"/>
        <i x="34" s="1" nd="1"/>
        <i x="58" s="1" nd="1"/>
        <i x="146" s="1" nd="1"/>
        <i x="139" s="1" nd="1"/>
        <i x="225" s="1" nd="1"/>
        <i x="272" s="1" nd="1"/>
        <i x="210" s="1" nd="1"/>
        <i x="123" s="1" nd="1"/>
        <i x="217" s="1" nd="1"/>
        <i x="59" s="1" nd="1"/>
        <i x="152" s="1" nd="1"/>
        <i x="135" s="1" nd="1"/>
        <i x="244" s="1" nd="1"/>
        <i x="101" s="1" nd="1"/>
        <i x="138" s="1" nd="1"/>
        <i x="277" s="1" nd="1"/>
        <i x="292" s="1" nd="1"/>
        <i x="4" s="1" nd="1"/>
        <i x="12" s="1" nd="1"/>
        <i x="12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09648E2C-3B89-47B7-9CAF-855DC1F62D67}" sourceName="Salary Range">
  <pivotTables>
    <pivotTable tabId="5" name="Dept Wise Status"/>
    <pivotTable tabId="5" name="Dept_Avg_Exper"/>
    <pivotTable tabId="5" name="Dept_Avg_Salary"/>
    <pivotTable tabId="5" name="Manager_Headount"/>
    <pivotTable tabId="5" name="Salary_Range_Headcount"/>
  </pivotTables>
  <data>
    <tabular pivotCacheId="1143856517">
      <items count="5">
        <i x="4"/>
        <i x="1" s="1"/>
        <i x="2"/>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Clean" xr10:uid="{1973CD0B-B445-4664-B323-A72F0C465DCB}" sourceName="Status Clean">
  <pivotTables>
    <pivotTable tabId="5" name="Dept Wise Status"/>
    <pivotTable tabId="5" name="Dept_Avg_Exper"/>
    <pivotTable tabId="5" name="Dept_Avg_Salary"/>
    <pivotTable tabId="5" name="Manager_Headount"/>
    <pivotTable tabId="5" name="Salary_Range_Headcount"/>
  </pivotTables>
  <data>
    <tabular pivotCacheId="1143856517">
      <items count="3">
        <i x="2" s="1"/>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B81CB18B-EFA8-4C1E-A684-CB04B23EE277}" sourceName="Experience Years">
  <pivotTables>
    <pivotTable tabId="5" name="Dept Wise Status"/>
    <pivotTable tabId="5" name="Dept_Avg_Exper"/>
    <pivotTable tabId="5" name="Dept_Avg_Salary"/>
    <pivotTable tabId="5" name="Manager_Headount"/>
    <pivotTable tabId="5" name="Salary_Range_Headcount"/>
  </pivotTables>
  <data>
    <tabular pivotCacheId="1143856517">
      <items count="7">
        <i x="1"/>
        <i x="2"/>
        <i x="4"/>
        <i x="0"/>
        <i x="3" s="1"/>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xr10:uid="{7B16D4EC-50F3-4ADA-B54A-318A9111A964}" cache="Slicer_Salary" caption="Salary" rowHeight="234950"/>
  <slicer name="Salary Range" xr10:uid="{6C5226EA-D17C-4D7D-A199-05D113B90504}" cache="Slicer_Salary_Range" caption="Salary Range" rowHeight="234950"/>
  <slicer name="Status Clean" xr10:uid="{479B36C7-8E8C-4ED3-A8AE-1B73FBA49F42}" cache="Slicer_Status_Clean" caption="Status Clean" rowHeight="234950"/>
  <slicer name="Experience Years" xr10:uid="{9B0950C2-CC4D-49DD-B446-495B61D1CA8B}" cache="Slicer_Experience_Years" caption="Experience 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1" xr10:uid="{D23513E9-3BB4-4C00-A90C-4194FD1306E7}" cache="Slicer_Salary" caption="Salary" startItem="15" rowHeight="234950"/>
  <slicer name="Salary Range 1" xr10:uid="{B8E32DF6-F372-443A-B157-9DC737C29812}" cache="Slicer_Salary_Range" caption="Salary Range" rowHeight="234950"/>
  <slicer name="Status Clean 1" xr10:uid="{FBD2FD9B-C405-46E0-8227-2020BBDCF51A}" cache="Slicer_Status_Clean" caption="Status Clean" rowHeight="234950"/>
  <slicer name="Experience Years 1" xr10:uid="{FF41B49B-5B76-492B-A78A-18CE6EDDCC9B}" cache="Slicer_Experience_Years" caption="Experience Ye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_Clean" xr10:uid="{5F0AA2A8-52EC-45A1-B84A-4B51024FCB18}" sourceName="Join Date Clean">
  <pivotTables>
    <pivotTable tabId="5" name="Salary_Range_Headcount"/>
    <pivotTable tabId="5" name="Dept Wise Status"/>
    <pivotTable tabId="5" name="Dept_Avg_Exper"/>
    <pivotTable tabId="5" name="Dept_Avg_Salary"/>
    <pivotTable tabId="5" name="Manager_Headount"/>
  </pivotTables>
  <state minimalRefreshVersion="6" lastRefreshVersion="6" pivotCacheId="1143856517" filterType="unknown">
    <bounds startDate="2019-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d_Date_Clean" xr10:uid="{620DBB82-9583-41D4-9AA2-118DA40A3A41}" sourceName="End Date Clean">
  <pivotTables>
    <pivotTable tabId="5" name="Manager_Headount"/>
    <pivotTable tabId="5" name="Dept Wise Status"/>
    <pivotTable tabId="5" name="Dept_Avg_Exper"/>
    <pivotTable tabId="5" name="Dept_Avg_Salary"/>
    <pivotTable tabId="5" name="Salary_Range_Headcount"/>
  </pivotTables>
  <state minimalRefreshVersion="6" lastRefreshVersion="6" pivotCacheId="1143856517" filterType="unknown">
    <bounds startDate="2019-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Clean" xr10:uid="{84A4E8FB-4ADE-49BC-BE16-66E20482FD7B}" cache="NativeTimeline_Join_Date_Clean" caption="Join Date Clean" level="0" selectionLevel="0" scrollPosition="2019-01-01T00:00:00"/>
  <timeline name="End Date Clean" xr10:uid="{F99A703C-2168-4197-BEAC-C338434AFA2D}" cache="NativeTimeline_End_Date_Clean" caption="End Date Clean" level="0" selectionLevel="0" scrollPosition="2021-10-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Clean 1" xr10:uid="{2E4359A4-D0DD-4153-B218-90C31B23CC8F}" cache="NativeTimeline_Join_Date_Clean" caption="Join Date Clean" level="0" selectionLevel="0" scrollPosition="2019-01-01T00:00:00"/>
  <timeline name="End Date Clean 1" xr10:uid="{85A36A7E-9C52-453B-B501-D3734525F49F}" cache="NativeTimeline_End_Date_Clean" caption="End Date Clean" level="0" selectionLevel="0" scrollPosition="2021-10-13T00:00:00"/>
</timeline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1"/>
  <sheetViews>
    <sheetView tabSelected="1" zoomScale="115" zoomScaleNormal="115" workbookViewId="0">
      <selection activeCell="S2" sqref="S2"/>
    </sheetView>
  </sheetViews>
  <sheetFormatPr defaultRowHeight="14.4" x14ac:dyDescent="0.3"/>
  <cols>
    <col min="1" max="1" width="8.5546875" bestFit="1" customWidth="1"/>
    <col min="2" max="2" width="15.109375" bestFit="1" customWidth="1"/>
    <col min="3" max="3" width="12.5546875" bestFit="1" customWidth="1"/>
    <col min="4" max="4" width="19.21875" bestFit="1" customWidth="1"/>
    <col min="5" max="5" width="14.109375" bestFit="1" customWidth="1"/>
    <col min="6" max="6" width="20.6640625" bestFit="1" customWidth="1"/>
    <col min="7" max="7" width="10.88671875" style="7" bestFit="1" customWidth="1"/>
    <col min="8" max="8" width="17.5546875" style="4" bestFit="1" customWidth="1"/>
    <col min="9" max="9" width="10.5546875" bestFit="1" customWidth="1"/>
    <col min="10" max="10" width="17.21875" bestFit="1" customWidth="1"/>
    <col min="11" max="11" width="12.6640625" bestFit="1" customWidth="1"/>
    <col min="12" max="12" width="19.44140625" bestFit="1" customWidth="1"/>
    <col min="13" max="13" width="21" bestFit="1" customWidth="1"/>
    <col min="14" max="14" width="21" customWidth="1"/>
    <col min="15" max="15" width="10.88671875" style="13" bestFit="1" customWidth="1"/>
    <col min="16" max="16" width="16.5546875" customWidth="1"/>
    <col min="17" max="17" width="22.109375" bestFit="1" customWidth="1"/>
    <col min="18" max="18" width="13.44140625" bestFit="1" customWidth="1"/>
    <col min="19" max="19" width="21.109375" bestFit="1" customWidth="1"/>
    <col min="20" max="20" width="9.33203125" bestFit="1" customWidth="1"/>
    <col min="21" max="21" width="14.109375" bestFit="1" customWidth="1"/>
    <col min="22" max="22" width="18.6640625" bestFit="1" customWidth="1"/>
    <col min="23" max="23" width="21.77734375" bestFit="1" customWidth="1"/>
    <col min="24" max="24" width="19.77734375" bestFit="1" customWidth="1"/>
    <col min="25" max="25" width="16.6640625" bestFit="1" customWidth="1"/>
    <col min="26" max="26" width="28.6640625" bestFit="1" customWidth="1"/>
    <col min="27" max="27" width="35.109375" bestFit="1" customWidth="1"/>
  </cols>
  <sheetData>
    <row r="1" spans="1:27" ht="18" x14ac:dyDescent="0.35">
      <c r="A1" s="1" t="s">
        <v>0</v>
      </c>
      <c r="B1" s="14" t="s">
        <v>926</v>
      </c>
      <c r="C1" s="1" t="s">
        <v>1</v>
      </c>
      <c r="D1" s="14" t="s">
        <v>927</v>
      </c>
      <c r="E1" s="1" t="s">
        <v>2</v>
      </c>
      <c r="F1" s="14" t="s">
        <v>928</v>
      </c>
      <c r="G1" s="5" t="s">
        <v>3</v>
      </c>
      <c r="H1" s="15" t="s">
        <v>931</v>
      </c>
      <c r="I1" s="1" t="s">
        <v>4</v>
      </c>
      <c r="J1" s="14" t="s">
        <v>933</v>
      </c>
      <c r="K1" s="1" t="s">
        <v>5</v>
      </c>
      <c r="L1" s="14" t="s">
        <v>934</v>
      </c>
      <c r="M1" s="1" t="s">
        <v>6</v>
      </c>
      <c r="N1" s="14" t="s">
        <v>929</v>
      </c>
      <c r="O1" s="11" t="s">
        <v>7</v>
      </c>
      <c r="P1" s="18" t="s">
        <v>941</v>
      </c>
      <c r="Q1" s="18" t="s">
        <v>942</v>
      </c>
      <c r="R1" s="1" t="s">
        <v>8</v>
      </c>
      <c r="S1" s="14" t="s">
        <v>930</v>
      </c>
      <c r="T1" s="1" t="s">
        <v>9</v>
      </c>
      <c r="U1" s="14" t="s">
        <v>932</v>
      </c>
      <c r="V1" s="17" t="s">
        <v>935</v>
      </c>
      <c r="W1" s="17" t="s">
        <v>937</v>
      </c>
      <c r="X1" s="17" t="s">
        <v>936</v>
      </c>
      <c r="Y1" s="16" t="s">
        <v>938</v>
      </c>
      <c r="Z1" s="21" t="s">
        <v>948</v>
      </c>
      <c r="AA1" s="22" t="s">
        <v>952</v>
      </c>
    </row>
    <row r="2" spans="1:27" x14ac:dyDescent="0.3">
      <c r="A2" s="2" t="s">
        <v>10</v>
      </c>
      <c r="B2" s="2" t="str">
        <f>TRIM(UPPER(A2))</f>
        <v>EMP1</v>
      </c>
      <c r="C2" s="2" t="s">
        <v>11</v>
      </c>
      <c r="D2" s="2" t="str">
        <f>PROPER(TRIM(C2))</f>
        <v>Ravi</v>
      </c>
      <c r="E2" s="2" t="s">
        <v>12</v>
      </c>
      <c r="F2" s="2" t="str">
        <f>TRIM(UPPER(E2))</f>
        <v>IT</v>
      </c>
      <c r="G2" s="6" t="s">
        <v>13</v>
      </c>
      <c r="H2" s="8">
        <f>DATEVALUE(G2)</f>
        <v>44578</v>
      </c>
      <c r="I2" s="2" t="s">
        <v>14</v>
      </c>
      <c r="J2" s="3">
        <f ca="1">IF(I2="",TODAY(),DATEVALUE(I2))</f>
        <v>45720</v>
      </c>
      <c r="K2" s="2">
        <v>9878481087</v>
      </c>
      <c r="L2" s="2">
        <f>VALUE(K2)</f>
        <v>9878481087</v>
      </c>
      <c r="M2" s="2" t="s">
        <v>15</v>
      </c>
      <c r="N2" s="2" t="str">
        <f>TRIM(LOWER(M2))</f>
        <v>amit@company.com</v>
      </c>
      <c r="O2" s="12">
        <v>16661</v>
      </c>
      <c r="P2" s="2" t="str">
        <f t="shared" ref="P2:P65" si="0">IF(O2&lt;20000,"Below 20K",
IF(O2&lt;=40000,"20K-40K",
IF(O2&lt;=60000,"40K-60K",
IF(O2&lt;=80000,"60K-80K",
"Above 80K"))))</f>
        <v>Below 20K</v>
      </c>
      <c r="Q2" s="19" t="s">
        <v>943</v>
      </c>
      <c r="R2" s="2" t="s">
        <v>16</v>
      </c>
      <c r="S2" s="2" t="str">
        <f t="shared" ref="S2:S65" si="1">TRIM(CLEAN(SUBSTITUTE(R2," ","")))</f>
        <v>M4</v>
      </c>
      <c r="T2" s="2" t="s">
        <v>17</v>
      </c>
      <c r="U2" s="2" t="str">
        <f>TRIM(UPPER(T2))</f>
        <v>RESIGNED</v>
      </c>
      <c r="V2" s="2">
        <f t="shared" ref="V2:V65" ca="1" si="2">DATEDIF(H2,J2,"D")</f>
        <v>1142</v>
      </c>
      <c r="W2" s="2">
        <f t="shared" ref="W2:W65" ca="1" si="3">DATEDIF(H2,J2,"M")</f>
        <v>37</v>
      </c>
      <c r="X2" s="2">
        <f t="shared" ref="X2:X65" ca="1" si="4">DATEDIF(H2,J2,"Y")</f>
        <v>3</v>
      </c>
      <c r="Y2" s="2">
        <f>COUNTIF($U:$U,"RESIGNED")</f>
        <v>120</v>
      </c>
      <c r="Z2" s="23">
        <f ca="1">AVERAGEIF(U:U,"RESIGNED",X:X)</f>
        <v>1.9166666666666667</v>
      </c>
      <c r="AA2" s="2" t="str">
        <f ca="1">IF(AND(O2&gt;80000,X2&lt;2),"CHECK","OK")</f>
        <v>OK</v>
      </c>
    </row>
    <row r="3" spans="1:27" x14ac:dyDescent="0.3">
      <c r="A3" s="2" t="s">
        <v>18</v>
      </c>
      <c r="B3" s="2" t="str">
        <f t="shared" ref="B3:B66" si="5">TRIM(UPPER(A3))</f>
        <v>EMP2</v>
      </c>
      <c r="C3" s="2" t="s">
        <v>11</v>
      </c>
      <c r="D3" s="2" t="str">
        <f t="shared" ref="D3:D66" si="6">PROPER(TRIM(C3))</f>
        <v>Ravi</v>
      </c>
      <c r="E3" s="2" t="s">
        <v>19</v>
      </c>
      <c r="F3" s="2" t="str">
        <f t="shared" ref="F3:F66" si="7">TRIM(UPPER(E3))</f>
        <v>FINANCE</v>
      </c>
      <c r="G3" s="6" t="s">
        <v>20</v>
      </c>
      <c r="H3" s="8">
        <f t="shared" ref="H3:H66" si="8">DATEVALUE(G3)</f>
        <v>45151</v>
      </c>
      <c r="I3" s="2" t="s">
        <v>21</v>
      </c>
      <c r="J3" s="3">
        <f t="shared" ref="J3:J66" ca="1" si="9">IF(I3="",TODAY(),DATEVALUE(I3))</f>
        <v>45245</v>
      </c>
      <c r="K3" s="2">
        <v>9377218497</v>
      </c>
      <c r="L3" s="2">
        <f t="shared" ref="L3:L66" si="10">VALUE(K3)</f>
        <v>9377218497</v>
      </c>
      <c r="M3" s="2" t="s">
        <v>22</v>
      </c>
      <c r="N3" s="2" t="str">
        <f t="shared" ref="N3:N66" si="11">TRIM(LOWER(M3))</f>
        <v>pooja@company.com</v>
      </c>
      <c r="O3" s="12">
        <v>66881</v>
      </c>
      <c r="P3" s="2" t="str">
        <f t="shared" si="0"/>
        <v>60K-80K</v>
      </c>
      <c r="Q3" s="2">
        <f>COUNTIF($P:$P,"Below 20k")</f>
        <v>38</v>
      </c>
      <c r="R3" s="2" t="s">
        <v>23</v>
      </c>
      <c r="S3" s="2" t="str">
        <f t="shared" si="1"/>
        <v>M8</v>
      </c>
      <c r="T3" s="2" t="s">
        <v>17</v>
      </c>
      <c r="U3" s="2" t="str">
        <f t="shared" ref="U3:U66" si="12">TRIM(UPPER(T3))</f>
        <v>RESIGNED</v>
      </c>
      <c r="V3" s="2">
        <f t="shared" ca="1" si="2"/>
        <v>94</v>
      </c>
      <c r="W3" s="2">
        <f t="shared" ca="1" si="3"/>
        <v>3</v>
      </c>
      <c r="X3" s="2">
        <f t="shared" ca="1" si="4"/>
        <v>0</v>
      </c>
      <c r="Y3" s="2"/>
      <c r="Z3" s="2"/>
      <c r="AA3" s="2" t="str">
        <f t="shared" ref="AA3:AA66" ca="1" si="13">IF(AND(O3&gt;80000,X3&lt;2),"CHECK","OK")</f>
        <v>OK</v>
      </c>
    </row>
    <row r="4" spans="1:27" ht="18" x14ac:dyDescent="0.35">
      <c r="A4" s="2" t="s">
        <v>24</v>
      </c>
      <c r="B4" s="2" t="str">
        <f t="shared" si="5"/>
        <v>EMP3</v>
      </c>
      <c r="C4" s="2" t="s">
        <v>25</v>
      </c>
      <c r="D4" s="2" t="str">
        <f t="shared" si="6"/>
        <v>Ankit</v>
      </c>
      <c r="E4" s="2" t="s">
        <v>26</v>
      </c>
      <c r="F4" s="2" t="str">
        <f t="shared" si="7"/>
        <v>HR</v>
      </c>
      <c r="G4" s="6" t="s">
        <v>27</v>
      </c>
      <c r="H4" s="8">
        <f t="shared" si="8"/>
        <v>44890</v>
      </c>
      <c r="I4" s="2" t="s">
        <v>28</v>
      </c>
      <c r="J4" s="3">
        <f t="shared" ca="1" si="9"/>
        <v>44997</v>
      </c>
      <c r="K4" s="2">
        <v>9595920356</v>
      </c>
      <c r="L4" s="2">
        <f t="shared" si="10"/>
        <v>9595920356</v>
      </c>
      <c r="M4" s="2" t="s">
        <v>29</v>
      </c>
      <c r="N4" s="2" t="str">
        <f t="shared" si="11"/>
        <v>suresh@company.com</v>
      </c>
      <c r="O4" s="12">
        <v>86913</v>
      </c>
      <c r="P4" s="2" t="str">
        <f t="shared" si="0"/>
        <v>Above 80K</v>
      </c>
      <c r="Q4" s="2"/>
      <c r="R4" s="2" t="s">
        <v>30</v>
      </c>
      <c r="S4" s="2" t="str">
        <f t="shared" si="1"/>
        <v>M3</v>
      </c>
      <c r="T4" s="2" t="s">
        <v>31</v>
      </c>
      <c r="U4" s="2" t="str">
        <f t="shared" si="12"/>
        <v>ON HOLD</v>
      </c>
      <c r="V4" s="2">
        <f t="shared" ca="1" si="2"/>
        <v>107</v>
      </c>
      <c r="W4" s="2">
        <f t="shared" ca="1" si="3"/>
        <v>3</v>
      </c>
      <c r="X4" s="2">
        <f t="shared" ca="1" si="4"/>
        <v>0</v>
      </c>
      <c r="Y4" s="16" t="s">
        <v>939</v>
      </c>
      <c r="Z4" s="22" t="s">
        <v>949</v>
      </c>
      <c r="AA4" s="2" t="str">
        <f t="shared" ca="1" si="13"/>
        <v>CHECK</v>
      </c>
    </row>
    <row r="5" spans="1:27" x14ac:dyDescent="0.3">
      <c r="A5" s="2" t="s">
        <v>32</v>
      </c>
      <c r="B5" s="2" t="str">
        <f t="shared" si="5"/>
        <v>EMP4</v>
      </c>
      <c r="C5" s="2" t="s">
        <v>11</v>
      </c>
      <c r="D5" s="2" t="str">
        <f t="shared" si="6"/>
        <v>Ravi</v>
      </c>
      <c r="E5" s="2" t="s">
        <v>33</v>
      </c>
      <c r="F5" s="2" t="str">
        <f t="shared" si="7"/>
        <v>IT</v>
      </c>
      <c r="G5" s="6" t="s">
        <v>34</v>
      </c>
      <c r="H5" s="8">
        <f t="shared" si="8"/>
        <v>44088</v>
      </c>
      <c r="I5" s="2" t="s">
        <v>35</v>
      </c>
      <c r="J5" s="3">
        <f t="shared" ca="1" si="9"/>
        <v>44598</v>
      </c>
      <c r="K5" s="2">
        <v>9941224943</v>
      </c>
      <c r="L5" s="2">
        <f t="shared" si="10"/>
        <v>9941224943</v>
      </c>
      <c r="M5" s="2" t="s">
        <v>36</v>
      </c>
      <c r="N5" s="2" t="str">
        <f t="shared" si="11"/>
        <v>neha@company.com</v>
      </c>
      <c r="O5" s="12">
        <v>33885</v>
      </c>
      <c r="P5" s="2" t="str">
        <f t="shared" si="0"/>
        <v>20K-40K</v>
      </c>
      <c r="Q5" s="19" t="s">
        <v>944</v>
      </c>
      <c r="R5" s="2" t="s">
        <v>23</v>
      </c>
      <c r="S5" s="2" t="str">
        <f t="shared" si="1"/>
        <v>M8</v>
      </c>
      <c r="T5" s="2" t="s">
        <v>37</v>
      </c>
      <c r="U5" s="2" t="str">
        <f t="shared" si="12"/>
        <v>ACTIVE</v>
      </c>
      <c r="V5" s="2">
        <f t="shared" ca="1" si="2"/>
        <v>510</v>
      </c>
      <c r="W5" s="2">
        <f t="shared" ca="1" si="3"/>
        <v>16</v>
      </c>
      <c r="X5" s="2">
        <f t="shared" ca="1" si="4"/>
        <v>1</v>
      </c>
      <c r="Y5" s="2">
        <f>COUNTIF($U:$U,"ACTIVE")</f>
        <v>105</v>
      </c>
      <c r="Z5" s="23">
        <f ca="1">AVERAGEIF(U:U,"ACTIVE",W:W)</f>
        <v>29.066666666666666</v>
      </c>
      <c r="AA5" s="2" t="str">
        <f t="shared" ca="1" si="13"/>
        <v>OK</v>
      </c>
    </row>
    <row r="6" spans="1:27" x14ac:dyDescent="0.3">
      <c r="A6" s="2" t="s">
        <v>38</v>
      </c>
      <c r="B6" s="2" t="str">
        <f t="shared" si="5"/>
        <v>EMP5</v>
      </c>
      <c r="C6" s="2" t="s">
        <v>39</v>
      </c>
      <c r="D6" s="2" t="str">
        <f t="shared" si="6"/>
        <v>Amit</v>
      </c>
      <c r="E6" s="2" t="s">
        <v>40</v>
      </c>
      <c r="F6" s="2" t="str">
        <f t="shared" si="7"/>
        <v>SALES</v>
      </c>
      <c r="G6" s="6" t="s">
        <v>41</v>
      </c>
      <c r="H6" s="8">
        <f t="shared" si="8"/>
        <v>44516</v>
      </c>
      <c r="I6" s="2" t="s">
        <v>42</v>
      </c>
      <c r="J6" s="3">
        <f t="shared" ca="1" si="9"/>
        <v>45889</v>
      </c>
      <c r="K6" s="2">
        <v>9245370465</v>
      </c>
      <c r="L6" s="2">
        <f t="shared" si="10"/>
        <v>9245370465</v>
      </c>
      <c r="M6" s="2" t="s">
        <v>43</v>
      </c>
      <c r="N6" s="2" t="str">
        <f t="shared" si="11"/>
        <v>ravi@company.com</v>
      </c>
      <c r="O6" s="12">
        <v>94504</v>
      </c>
      <c r="P6" s="2" t="str">
        <f t="shared" si="0"/>
        <v>Above 80K</v>
      </c>
      <c r="Q6" s="2">
        <f>COUNTIF($P:$P,"20K-40K")</f>
        <v>76</v>
      </c>
      <c r="R6" s="2" t="s">
        <v>44</v>
      </c>
      <c r="S6" s="2" t="str">
        <f t="shared" si="1"/>
        <v>M9</v>
      </c>
      <c r="T6" s="2" t="s">
        <v>45</v>
      </c>
      <c r="U6" s="2" t="str">
        <f t="shared" si="12"/>
        <v>RESIGNED</v>
      </c>
      <c r="V6" s="2">
        <f t="shared" ca="1" si="2"/>
        <v>1373</v>
      </c>
      <c r="W6" s="2">
        <f t="shared" ca="1" si="3"/>
        <v>45</v>
      </c>
      <c r="X6" s="2">
        <f t="shared" ca="1" si="4"/>
        <v>3</v>
      </c>
      <c r="Y6" s="2"/>
      <c r="Z6" s="2"/>
      <c r="AA6" s="2" t="str">
        <f t="shared" ca="1" si="13"/>
        <v>OK</v>
      </c>
    </row>
    <row r="7" spans="1:27" ht="18" x14ac:dyDescent="0.35">
      <c r="A7" s="2" t="s">
        <v>46</v>
      </c>
      <c r="B7" s="2" t="str">
        <f t="shared" si="5"/>
        <v>EMP6</v>
      </c>
      <c r="C7" s="2" t="s">
        <v>47</v>
      </c>
      <c r="D7" s="2" t="str">
        <f t="shared" si="6"/>
        <v>Sunita</v>
      </c>
      <c r="E7" s="2" t="s">
        <v>48</v>
      </c>
      <c r="F7" s="2" t="str">
        <f t="shared" si="7"/>
        <v>FINANCE</v>
      </c>
      <c r="G7" s="6" t="s">
        <v>49</v>
      </c>
      <c r="H7" s="8">
        <f t="shared" si="8"/>
        <v>43744</v>
      </c>
      <c r="I7" s="2" t="s">
        <v>50</v>
      </c>
      <c r="J7" s="3">
        <f t="shared" ca="1" si="9"/>
        <v>43898</v>
      </c>
      <c r="K7" s="2">
        <v>9349938125</v>
      </c>
      <c r="L7" s="2">
        <f t="shared" si="10"/>
        <v>9349938125</v>
      </c>
      <c r="M7" s="2" t="s">
        <v>51</v>
      </c>
      <c r="N7" s="2" t="str">
        <f t="shared" si="11"/>
        <v>kiran@company.com</v>
      </c>
      <c r="O7" s="12">
        <v>49791</v>
      </c>
      <c r="P7" s="2" t="str">
        <f t="shared" si="0"/>
        <v>40K-60K</v>
      </c>
      <c r="Q7" s="2"/>
      <c r="R7" s="2" t="s">
        <v>52</v>
      </c>
      <c r="S7" s="2" t="str">
        <f t="shared" si="1"/>
        <v>M16</v>
      </c>
      <c r="T7" s="2" t="s">
        <v>17</v>
      </c>
      <c r="U7" s="2" t="str">
        <f t="shared" si="12"/>
        <v>RESIGNED</v>
      </c>
      <c r="V7" s="2">
        <f t="shared" ca="1" si="2"/>
        <v>154</v>
      </c>
      <c r="W7" s="2">
        <f t="shared" ca="1" si="3"/>
        <v>5</v>
      </c>
      <c r="X7" s="2">
        <f t="shared" ca="1" si="4"/>
        <v>0</v>
      </c>
      <c r="Y7" s="16" t="s">
        <v>940</v>
      </c>
      <c r="Z7" s="22" t="s">
        <v>951</v>
      </c>
      <c r="AA7" s="2" t="str">
        <f t="shared" ca="1" si="13"/>
        <v>OK</v>
      </c>
    </row>
    <row r="8" spans="1:27" x14ac:dyDescent="0.3">
      <c r="A8" s="2" t="s">
        <v>53</v>
      </c>
      <c r="B8" s="2" t="str">
        <f t="shared" si="5"/>
        <v>EMP7</v>
      </c>
      <c r="C8" s="2" t="s">
        <v>11</v>
      </c>
      <c r="D8" s="2" t="str">
        <f t="shared" si="6"/>
        <v>Ravi</v>
      </c>
      <c r="E8" s="2" t="s">
        <v>19</v>
      </c>
      <c r="F8" s="2" t="str">
        <f t="shared" si="7"/>
        <v>FINANCE</v>
      </c>
      <c r="G8" s="6" t="s">
        <v>54</v>
      </c>
      <c r="H8" s="8">
        <f t="shared" si="8"/>
        <v>44214</v>
      </c>
      <c r="I8" s="2"/>
      <c r="J8" s="3">
        <f t="shared" ca="1" si="9"/>
        <v>46024</v>
      </c>
      <c r="K8" s="2">
        <v>9900001110</v>
      </c>
      <c r="L8" s="2">
        <f t="shared" si="10"/>
        <v>9900001110</v>
      </c>
      <c r="M8" s="2" t="s">
        <v>51</v>
      </c>
      <c r="N8" s="2" t="str">
        <f t="shared" si="11"/>
        <v>kiran@company.com</v>
      </c>
      <c r="O8" s="12">
        <v>86686</v>
      </c>
      <c r="P8" s="2" t="str">
        <f t="shared" si="0"/>
        <v>Above 80K</v>
      </c>
      <c r="Q8" s="20" t="s">
        <v>945</v>
      </c>
      <c r="R8" s="2" t="s">
        <v>55</v>
      </c>
      <c r="S8" s="2" t="str">
        <f t="shared" si="1"/>
        <v>M2</v>
      </c>
      <c r="T8" s="2" t="s">
        <v>45</v>
      </c>
      <c r="U8" s="2" t="str">
        <f t="shared" si="12"/>
        <v>RESIGNED</v>
      </c>
      <c r="V8" s="2">
        <f t="shared" ca="1" si="2"/>
        <v>1810</v>
      </c>
      <c r="W8" s="2">
        <f t="shared" ca="1" si="3"/>
        <v>59</v>
      </c>
      <c r="X8" s="2">
        <f t="shared" ca="1" si="4"/>
        <v>4</v>
      </c>
      <c r="Y8" s="2">
        <f>COUNTIF($U:$U,"ON HOLD")</f>
        <v>75</v>
      </c>
      <c r="Z8" s="12">
        <f>LARGE(O:O,1)</f>
        <v>94569</v>
      </c>
      <c r="AA8" s="2" t="str">
        <f t="shared" ca="1" si="13"/>
        <v>OK</v>
      </c>
    </row>
    <row r="9" spans="1:27" x14ac:dyDescent="0.3">
      <c r="A9" s="2" t="s">
        <v>56</v>
      </c>
      <c r="B9" s="2" t="str">
        <f t="shared" si="5"/>
        <v>EMP8</v>
      </c>
      <c r="C9" s="2" t="s">
        <v>47</v>
      </c>
      <c r="D9" s="2" t="str">
        <f t="shared" si="6"/>
        <v>Sunita</v>
      </c>
      <c r="E9" s="2" t="s">
        <v>57</v>
      </c>
      <c r="F9" s="2" t="str">
        <f t="shared" si="7"/>
        <v>HR</v>
      </c>
      <c r="G9" s="6" t="s">
        <v>58</v>
      </c>
      <c r="H9" s="8">
        <f t="shared" si="8"/>
        <v>44726</v>
      </c>
      <c r="I9" s="2" t="s">
        <v>59</v>
      </c>
      <c r="J9" s="3">
        <f t="shared" ca="1" si="9"/>
        <v>46061</v>
      </c>
      <c r="K9" s="2">
        <v>9125742616</v>
      </c>
      <c r="L9" s="2">
        <f t="shared" si="10"/>
        <v>9125742616</v>
      </c>
      <c r="M9" s="2" t="s">
        <v>60</v>
      </c>
      <c r="N9" s="2" t="str">
        <f t="shared" si="11"/>
        <v>pooja@gmail.com</v>
      </c>
      <c r="O9" s="12">
        <v>37975</v>
      </c>
      <c r="P9" s="2" t="str">
        <f t="shared" si="0"/>
        <v>20K-40K</v>
      </c>
      <c r="Q9" s="2">
        <f>COUNTIF($P:$P,"40K-60K")</f>
        <v>66</v>
      </c>
      <c r="R9" s="2" t="s">
        <v>61</v>
      </c>
      <c r="S9" s="2" t="str">
        <f t="shared" si="1"/>
        <v>M13</v>
      </c>
      <c r="T9" s="2" t="s">
        <v>37</v>
      </c>
      <c r="U9" s="2" t="str">
        <f t="shared" si="12"/>
        <v>ACTIVE</v>
      </c>
      <c r="V9" s="2">
        <f t="shared" ca="1" si="2"/>
        <v>1335</v>
      </c>
      <c r="W9" s="2">
        <f t="shared" ca="1" si="3"/>
        <v>43</v>
      </c>
      <c r="X9" s="2">
        <f t="shared" ca="1" si="4"/>
        <v>3</v>
      </c>
      <c r="Y9" s="2"/>
      <c r="Z9" s="2"/>
      <c r="AA9" s="2" t="str">
        <f t="shared" ca="1" si="13"/>
        <v>OK</v>
      </c>
    </row>
    <row r="10" spans="1:27" ht="15.6" x14ac:dyDescent="0.3">
      <c r="A10" s="2" t="s">
        <v>62</v>
      </c>
      <c r="B10" s="2" t="str">
        <f t="shared" si="5"/>
        <v>EMP9</v>
      </c>
      <c r="C10" s="2" t="s">
        <v>63</v>
      </c>
      <c r="D10" s="2" t="str">
        <f t="shared" si="6"/>
        <v>Pooja</v>
      </c>
      <c r="E10" s="2" t="s">
        <v>33</v>
      </c>
      <c r="F10" s="2" t="str">
        <f t="shared" si="7"/>
        <v>IT</v>
      </c>
      <c r="G10" s="6" t="s">
        <v>64</v>
      </c>
      <c r="H10" s="8">
        <f t="shared" si="8"/>
        <v>44959</v>
      </c>
      <c r="I10" s="2" t="s">
        <v>65</v>
      </c>
      <c r="J10" s="3">
        <f t="shared" ca="1" si="9"/>
        <v>45844</v>
      </c>
      <c r="K10" s="2">
        <v>9188103283</v>
      </c>
      <c r="L10" s="2">
        <f t="shared" si="10"/>
        <v>9188103283</v>
      </c>
      <c r="M10" s="2" t="s">
        <v>36</v>
      </c>
      <c r="N10" s="2" t="str">
        <f t="shared" si="11"/>
        <v>neha@company.com</v>
      </c>
      <c r="O10" s="12">
        <v>18480</v>
      </c>
      <c r="P10" s="2" t="str">
        <f t="shared" si="0"/>
        <v>Below 20K</v>
      </c>
      <c r="Q10" s="2"/>
      <c r="R10" s="2" t="s">
        <v>66</v>
      </c>
      <c r="S10" s="2" t="str">
        <f t="shared" si="1"/>
        <v>M13</v>
      </c>
      <c r="T10" s="2" t="s">
        <v>17</v>
      </c>
      <c r="U10" s="2" t="str">
        <f t="shared" si="12"/>
        <v>RESIGNED</v>
      </c>
      <c r="V10" s="2">
        <f t="shared" ca="1" si="2"/>
        <v>885</v>
      </c>
      <c r="W10" s="2">
        <f t="shared" ca="1" si="3"/>
        <v>29</v>
      </c>
      <c r="X10" s="2">
        <f t="shared" ca="1" si="4"/>
        <v>2</v>
      </c>
      <c r="Y10" s="2"/>
      <c r="Z10" s="22" t="s">
        <v>950</v>
      </c>
      <c r="AA10" s="2" t="str">
        <f t="shared" ca="1" si="13"/>
        <v>OK</v>
      </c>
    </row>
    <row r="11" spans="1:27" x14ac:dyDescent="0.3">
      <c r="A11" s="2" t="s">
        <v>67</v>
      </c>
      <c r="B11" s="2" t="str">
        <f t="shared" si="5"/>
        <v>EMP10</v>
      </c>
      <c r="C11" s="2" t="s">
        <v>11</v>
      </c>
      <c r="D11" s="2" t="str">
        <f t="shared" si="6"/>
        <v>Ravi</v>
      </c>
      <c r="E11" s="2" t="s">
        <v>33</v>
      </c>
      <c r="F11" s="2" t="str">
        <f t="shared" si="7"/>
        <v>IT</v>
      </c>
      <c r="G11" s="6" t="s">
        <v>68</v>
      </c>
      <c r="H11" s="8">
        <f t="shared" si="8"/>
        <v>44424</v>
      </c>
      <c r="I11" s="2" t="s">
        <v>69</v>
      </c>
      <c r="J11" s="3">
        <f t="shared" ca="1" si="9"/>
        <v>45026</v>
      </c>
      <c r="K11" s="2">
        <v>9526289266</v>
      </c>
      <c r="L11" s="2">
        <f t="shared" si="10"/>
        <v>9526289266</v>
      </c>
      <c r="M11" s="2" t="s">
        <v>70</v>
      </c>
      <c r="N11" s="2" t="str">
        <f t="shared" si="11"/>
        <v>sunita@company.com</v>
      </c>
      <c r="O11" s="12">
        <v>72669</v>
      </c>
      <c r="P11" s="2" t="str">
        <f t="shared" si="0"/>
        <v>60K-80K</v>
      </c>
      <c r="Q11" s="20" t="s">
        <v>946</v>
      </c>
      <c r="R11" s="2" t="s">
        <v>71</v>
      </c>
      <c r="S11" s="2" t="str">
        <f t="shared" si="1"/>
        <v>M14</v>
      </c>
      <c r="T11" s="2" t="s">
        <v>31</v>
      </c>
      <c r="U11" s="2" t="str">
        <f t="shared" si="12"/>
        <v>ON HOLD</v>
      </c>
      <c r="V11" s="2">
        <f t="shared" ca="1" si="2"/>
        <v>602</v>
      </c>
      <c r="W11" s="2">
        <f t="shared" ca="1" si="3"/>
        <v>19</v>
      </c>
      <c r="X11" s="2">
        <f t="shared" ca="1" si="4"/>
        <v>1</v>
      </c>
      <c r="Y11" s="2"/>
      <c r="Z11" s="12">
        <f>LARGE(O:O,5)</f>
        <v>94195</v>
      </c>
      <c r="AA11" s="2" t="str">
        <f t="shared" ca="1" si="13"/>
        <v>OK</v>
      </c>
    </row>
    <row r="12" spans="1:27" x14ac:dyDescent="0.3">
      <c r="A12" s="2" t="s">
        <v>72</v>
      </c>
      <c r="B12" s="2" t="str">
        <f t="shared" si="5"/>
        <v>EMP11</v>
      </c>
      <c r="C12" s="2" t="s">
        <v>47</v>
      </c>
      <c r="D12" s="2" t="str">
        <f t="shared" si="6"/>
        <v>Sunita</v>
      </c>
      <c r="E12" s="2" t="s">
        <v>57</v>
      </c>
      <c r="F12" s="2" t="str">
        <f t="shared" si="7"/>
        <v>HR</v>
      </c>
      <c r="G12" s="6" t="s">
        <v>73</v>
      </c>
      <c r="H12" s="8">
        <f t="shared" si="8"/>
        <v>43497</v>
      </c>
      <c r="I12" s="2" t="s">
        <v>74</v>
      </c>
      <c r="J12" s="3">
        <f t="shared" ca="1" si="9"/>
        <v>43684</v>
      </c>
      <c r="K12" s="2">
        <v>9302136537</v>
      </c>
      <c r="L12" s="2">
        <f t="shared" si="10"/>
        <v>9302136537</v>
      </c>
      <c r="M12" s="2" t="s">
        <v>36</v>
      </c>
      <c r="N12" s="2" t="str">
        <f t="shared" si="11"/>
        <v>neha@company.com</v>
      </c>
      <c r="O12" s="12">
        <v>17443</v>
      </c>
      <c r="P12" s="2" t="str">
        <f t="shared" si="0"/>
        <v>Below 20K</v>
      </c>
      <c r="Q12" s="2">
        <f>COUNTIF($P:$P,"60K-80K")</f>
        <v>69</v>
      </c>
      <c r="R12" s="2" t="s">
        <v>75</v>
      </c>
      <c r="S12" s="2" t="str">
        <f t="shared" si="1"/>
        <v>M12</v>
      </c>
      <c r="T12" s="2" t="s">
        <v>45</v>
      </c>
      <c r="U12" s="2" t="str">
        <f t="shared" si="12"/>
        <v>RESIGNED</v>
      </c>
      <c r="V12" s="2">
        <f t="shared" ca="1" si="2"/>
        <v>187</v>
      </c>
      <c r="W12" s="2">
        <f t="shared" ca="1" si="3"/>
        <v>6</v>
      </c>
      <c r="X12" s="2">
        <f t="shared" ca="1" si="4"/>
        <v>0</v>
      </c>
      <c r="Y12" s="2"/>
      <c r="Z12" s="2"/>
      <c r="AA12" s="2" t="str">
        <f t="shared" ca="1" si="13"/>
        <v>OK</v>
      </c>
    </row>
    <row r="13" spans="1:27" x14ac:dyDescent="0.3">
      <c r="A13" s="2" t="s">
        <v>76</v>
      </c>
      <c r="B13" s="2" t="str">
        <f t="shared" si="5"/>
        <v>EMP12</v>
      </c>
      <c r="C13" s="2" t="s">
        <v>63</v>
      </c>
      <c r="D13" s="2" t="str">
        <f t="shared" si="6"/>
        <v>Pooja</v>
      </c>
      <c r="E13" s="2" t="s">
        <v>57</v>
      </c>
      <c r="F13" s="2" t="str">
        <f t="shared" si="7"/>
        <v>HR</v>
      </c>
      <c r="G13" s="6" t="s">
        <v>77</v>
      </c>
      <c r="H13" s="8">
        <f t="shared" si="8"/>
        <v>43532</v>
      </c>
      <c r="I13" s="2" t="s">
        <v>78</v>
      </c>
      <c r="J13" s="3">
        <f t="shared" ca="1" si="9"/>
        <v>44342</v>
      </c>
      <c r="K13" s="2">
        <v>9887171748</v>
      </c>
      <c r="L13" s="2">
        <f t="shared" si="10"/>
        <v>9887171748</v>
      </c>
      <c r="M13" s="2" t="s">
        <v>29</v>
      </c>
      <c r="N13" s="2" t="str">
        <f t="shared" si="11"/>
        <v>suresh@company.com</v>
      </c>
      <c r="O13" s="12">
        <v>57006</v>
      </c>
      <c r="P13" s="2" t="str">
        <f t="shared" si="0"/>
        <v>40K-60K</v>
      </c>
      <c r="Q13" s="2"/>
      <c r="R13" s="2" t="s">
        <v>79</v>
      </c>
      <c r="S13" s="2" t="str">
        <f t="shared" si="1"/>
        <v>M20</v>
      </c>
      <c r="T13" s="2" t="s">
        <v>37</v>
      </c>
      <c r="U13" s="2" t="str">
        <f t="shared" si="12"/>
        <v>ACTIVE</v>
      </c>
      <c r="V13" s="2">
        <f t="shared" ca="1" si="2"/>
        <v>810</v>
      </c>
      <c r="W13" s="2">
        <f t="shared" ca="1" si="3"/>
        <v>26</v>
      </c>
      <c r="X13" s="2">
        <f t="shared" ca="1" si="4"/>
        <v>2</v>
      </c>
      <c r="Y13" s="2"/>
      <c r="Z13" s="2"/>
      <c r="AA13" s="2" t="str">
        <f t="shared" ca="1" si="13"/>
        <v>OK</v>
      </c>
    </row>
    <row r="14" spans="1:27" x14ac:dyDescent="0.3">
      <c r="A14" s="2" t="s">
        <v>80</v>
      </c>
      <c r="B14" s="2" t="str">
        <f t="shared" si="5"/>
        <v>EMP13</v>
      </c>
      <c r="C14" s="2" t="s">
        <v>81</v>
      </c>
      <c r="D14" s="2" t="str">
        <f t="shared" si="6"/>
        <v>Suresh</v>
      </c>
      <c r="E14" s="2" t="s">
        <v>26</v>
      </c>
      <c r="F14" s="2" t="str">
        <f t="shared" si="7"/>
        <v>HR</v>
      </c>
      <c r="G14" s="6" t="s">
        <v>82</v>
      </c>
      <c r="H14" s="8">
        <f t="shared" si="8"/>
        <v>44811</v>
      </c>
      <c r="I14" s="2" t="s">
        <v>83</v>
      </c>
      <c r="J14" s="3">
        <f t="shared" ca="1" si="9"/>
        <v>44964</v>
      </c>
      <c r="K14" s="2">
        <v>9561915728</v>
      </c>
      <c r="L14" s="2">
        <f t="shared" si="10"/>
        <v>9561915728</v>
      </c>
      <c r="M14" s="2" t="s">
        <v>84</v>
      </c>
      <c r="N14" s="2" t="str">
        <f t="shared" si="11"/>
        <v>ankit@company.com</v>
      </c>
      <c r="O14" s="12">
        <v>94507</v>
      </c>
      <c r="P14" s="2" t="str">
        <f t="shared" si="0"/>
        <v>Above 80K</v>
      </c>
      <c r="Q14" s="19" t="s">
        <v>947</v>
      </c>
      <c r="R14" s="2" t="s">
        <v>85</v>
      </c>
      <c r="S14" s="2" t="str">
        <f t="shared" si="1"/>
        <v>M24</v>
      </c>
      <c r="T14" s="2" t="s">
        <v>31</v>
      </c>
      <c r="U14" s="2" t="str">
        <f t="shared" si="12"/>
        <v>ON HOLD</v>
      </c>
      <c r="V14" s="2">
        <f t="shared" ca="1" si="2"/>
        <v>153</v>
      </c>
      <c r="W14" s="2">
        <f t="shared" ca="1" si="3"/>
        <v>5</v>
      </c>
      <c r="X14" s="2">
        <f t="shared" ca="1" si="4"/>
        <v>0</v>
      </c>
      <c r="Y14" s="2"/>
      <c r="Z14" s="2"/>
      <c r="AA14" s="2" t="str">
        <f t="shared" ca="1" si="13"/>
        <v>CHECK</v>
      </c>
    </row>
    <row r="15" spans="1:27" x14ac:dyDescent="0.3">
      <c r="A15" s="2" t="s">
        <v>86</v>
      </c>
      <c r="B15" s="2" t="str">
        <f t="shared" si="5"/>
        <v>EMP14</v>
      </c>
      <c r="C15" s="2" t="s">
        <v>63</v>
      </c>
      <c r="D15" s="2" t="str">
        <f t="shared" si="6"/>
        <v>Pooja</v>
      </c>
      <c r="E15" s="2" t="s">
        <v>40</v>
      </c>
      <c r="F15" s="2" t="str">
        <f t="shared" si="7"/>
        <v>SALES</v>
      </c>
      <c r="G15" s="6" t="s">
        <v>87</v>
      </c>
      <c r="H15" s="8">
        <f t="shared" si="8"/>
        <v>43991</v>
      </c>
      <c r="I15" s="2"/>
      <c r="J15" s="3">
        <f t="shared" ca="1" si="9"/>
        <v>46024</v>
      </c>
      <c r="K15" s="2">
        <v>9803274000</v>
      </c>
      <c r="L15" s="2">
        <f t="shared" si="10"/>
        <v>9803274000</v>
      </c>
      <c r="M15" s="2" t="s">
        <v>51</v>
      </c>
      <c r="N15" s="2" t="str">
        <f t="shared" si="11"/>
        <v>kiran@company.com</v>
      </c>
      <c r="O15" s="12">
        <v>49081</v>
      </c>
      <c r="P15" s="2" t="str">
        <f t="shared" si="0"/>
        <v>40K-60K</v>
      </c>
      <c r="Q15" s="2">
        <f>COUNTIF($P:$P,"Above 80k")</f>
        <v>51</v>
      </c>
      <c r="R15" s="2" t="s">
        <v>52</v>
      </c>
      <c r="S15" s="2" t="str">
        <f t="shared" si="1"/>
        <v>M16</v>
      </c>
      <c r="T15" s="2" t="s">
        <v>45</v>
      </c>
      <c r="U15" s="2" t="str">
        <f t="shared" si="12"/>
        <v>RESIGNED</v>
      </c>
      <c r="V15" s="2">
        <f t="shared" ca="1" si="2"/>
        <v>2033</v>
      </c>
      <c r="W15" s="2">
        <f t="shared" ca="1" si="3"/>
        <v>66</v>
      </c>
      <c r="X15" s="2">
        <f t="shared" ca="1" si="4"/>
        <v>5</v>
      </c>
      <c r="Y15" s="2"/>
      <c r="Z15" s="2"/>
      <c r="AA15" s="2" t="str">
        <f t="shared" ca="1" si="13"/>
        <v>OK</v>
      </c>
    </row>
    <row r="16" spans="1:27" x14ac:dyDescent="0.3">
      <c r="A16" s="2" t="s">
        <v>88</v>
      </c>
      <c r="B16" s="2" t="str">
        <f t="shared" si="5"/>
        <v>EMP15</v>
      </c>
      <c r="C16" s="2" t="s">
        <v>81</v>
      </c>
      <c r="D16" s="2" t="str">
        <f t="shared" si="6"/>
        <v>Suresh</v>
      </c>
      <c r="E16" s="2" t="s">
        <v>33</v>
      </c>
      <c r="F16" s="2" t="str">
        <f t="shared" si="7"/>
        <v>IT</v>
      </c>
      <c r="G16" s="6" t="s">
        <v>89</v>
      </c>
      <c r="H16" s="8">
        <f t="shared" si="8"/>
        <v>44965</v>
      </c>
      <c r="I16" s="2" t="s">
        <v>90</v>
      </c>
      <c r="J16" s="3">
        <f t="shared" ca="1" si="9"/>
        <v>45850</v>
      </c>
      <c r="K16" s="2">
        <v>9531992521</v>
      </c>
      <c r="L16" s="2">
        <f t="shared" si="10"/>
        <v>9531992521</v>
      </c>
      <c r="M16" s="2" t="s">
        <v>29</v>
      </c>
      <c r="N16" s="2" t="str">
        <f t="shared" si="11"/>
        <v>suresh@company.com</v>
      </c>
      <c r="O16" s="12">
        <v>69406</v>
      </c>
      <c r="P16" s="2" t="str">
        <f t="shared" si="0"/>
        <v>60K-80K</v>
      </c>
      <c r="Q16" s="2"/>
      <c r="R16" s="2" t="s">
        <v>55</v>
      </c>
      <c r="S16" s="2" t="str">
        <f t="shared" si="1"/>
        <v>M2</v>
      </c>
      <c r="T16" s="2" t="s">
        <v>31</v>
      </c>
      <c r="U16" s="2" t="str">
        <f t="shared" si="12"/>
        <v>ON HOLD</v>
      </c>
      <c r="V16" s="2">
        <f t="shared" ca="1" si="2"/>
        <v>885</v>
      </c>
      <c r="W16" s="2">
        <f t="shared" ca="1" si="3"/>
        <v>29</v>
      </c>
      <c r="X16" s="2">
        <f t="shared" ca="1" si="4"/>
        <v>2</v>
      </c>
      <c r="Y16" s="2"/>
      <c r="Z16" s="2"/>
      <c r="AA16" s="2" t="str">
        <f t="shared" ca="1" si="13"/>
        <v>OK</v>
      </c>
    </row>
    <row r="17" spans="1:27" x14ac:dyDescent="0.3">
      <c r="A17" s="2" t="s">
        <v>91</v>
      </c>
      <c r="B17" s="2" t="str">
        <f t="shared" si="5"/>
        <v>EMP16</v>
      </c>
      <c r="C17" s="2" t="s">
        <v>25</v>
      </c>
      <c r="D17" s="2" t="str">
        <f t="shared" si="6"/>
        <v>Ankit</v>
      </c>
      <c r="E17" s="2" t="s">
        <v>33</v>
      </c>
      <c r="F17" s="2" t="str">
        <f t="shared" si="7"/>
        <v>IT</v>
      </c>
      <c r="G17" s="6" t="s">
        <v>92</v>
      </c>
      <c r="H17" s="8">
        <f t="shared" si="8"/>
        <v>45235</v>
      </c>
      <c r="I17" s="2" t="s">
        <v>93</v>
      </c>
      <c r="J17" s="3">
        <f t="shared" ca="1" si="9"/>
        <v>45487</v>
      </c>
      <c r="K17" s="2">
        <v>9705437429</v>
      </c>
      <c r="L17" s="2">
        <f t="shared" si="10"/>
        <v>9705437429</v>
      </c>
      <c r="M17" s="2" t="s">
        <v>94</v>
      </c>
      <c r="N17" s="2" t="str">
        <f t="shared" si="11"/>
        <v>suresh@gmail.com</v>
      </c>
      <c r="O17" s="12">
        <v>18834</v>
      </c>
      <c r="P17" s="2" t="str">
        <f t="shared" si="0"/>
        <v>Below 20K</v>
      </c>
      <c r="Q17" s="2"/>
      <c r="R17" s="2" t="s">
        <v>79</v>
      </c>
      <c r="S17" s="2" t="str">
        <f t="shared" si="1"/>
        <v>M20</v>
      </c>
      <c r="T17" s="2" t="s">
        <v>31</v>
      </c>
      <c r="U17" s="2" t="str">
        <f t="shared" si="12"/>
        <v>ON HOLD</v>
      </c>
      <c r="V17" s="2">
        <f t="shared" ca="1" si="2"/>
        <v>252</v>
      </c>
      <c r="W17" s="2">
        <f t="shared" ca="1" si="3"/>
        <v>8</v>
      </c>
      <c r="X17" s="2">
        <f t="shared" ca="1" si="4"/>
        <v>0</v>
      </c>
      <c r="Y17" s="2"/>
      <c r="Z17" s="2"/>
      <c r="AA17" s="2" t="str">
        <f t="shared" ca="1" si="13"/>
        <v>OK</v>
      </c>
    </row>
    <row r="18" spans="1:27" x14ac:dyDescent="0.3">
      <c r="A18" s="2" t="s">
        <v>95</v>
      </c>
      <c r="B18" s="2" t="str">
        <f t="shared" si="5"/>
        <v>EMP17</v>
      </c>
      <c r="C18" s="2" t="s">
        <v>96</v>
      </c>
      <c r="D18" s="2" t="str">
        <f t="shared" si="6"/>
        <v>Neha</v>
      </c>
      <c r="E18" s="2" t="s">
        <v>12</v>
      </c>
      <c r="F18" s="2" t="str">
        <f t="shared" si="7"/>
        <v>IT</v>
      </c>
      <c r="G18" s="6" t="s">
        <v>97</v>
      </c>
      <c r="H18" s="8">
        <f t="shared" si="8"/>
        <v>43613</v>
      </c>
      <c r="I18" s="2" t="s">
        <v>98</v>
      </c>
      <c r="J18" s="3">
        <f t="shared" ca="1" si="9"/>
        <v>44737</v>
      </c>
      <c r="K18" s="2">
        <v>9970816343</v>
      </c>
      <c r="L18" s="2">
        <f t="shared" si="10"/>
        <v>9970816343</v>
      </c>
      <c r="M18" s="2" t="s">
        <v>29</v>
      </c>
      <c r="N18" s="2" t="str">
        <f t="shared" si="11"/>
        <v>suresh@company.com</v>
      </c>
      <c r="O18" s="12">
        <v>38952</v>
      </c>
      <c r="P18" s="2" t="str">
        <f t="shared" si="0"/>
        <v>20K-40K</v>
      </c>
      <c r="Q18" s="2"/>
      <c r="R18" s="2" t="s">
        <v>30</v>
      </c>
      <c r="S18" s="2" t="str">
        <f t="shared" si="1"/>
        <v>M3</v>
      </c>
      <c r="T18" s="2" t="s">
        <v>45</v>
      </c>
      <c r="U18" s="2" t="str">
        <f t="shared" si="12"/>
        <v>RESIGNED</v>
      </c>
      <c r="V18" s="2">
        <f t="shared" ca="1" si="2"/>
        <v>1124</v>
      </c>
      <c r="W18" s="2">
        <f t="shared" ca="1" si="3"/>
        <v>36</v>
      </c>
      <c r="X18" s="2">
        <f t="shared" ca="1" si="4"/>
        <v>3</v>
      </c>
      <c r="Y18" s="2"/>
      <c r="Z18" s="2"/>
      <c r="AA18" s="2" t="str">
        <f t="shared" ca="1" si="13"/>
        <v>OK</v>
      </c>
    </row>
    <row r="19" spans="1:27" x14ac:dyDescent="0.3">
      <c r="A19" s="2" t="s">
        <v>99</v>
      </c>
      <c r="B19" s="2" t="str">
        <f t="shared" si="5"/>
        <v>EMP18</v>
      </c>
      <c r="C19" s="2" t="s">
        <v>25</v>
      </c>
      <c r="D19" s="2" t="str">
        <f t="shared" si="6"/>
        <v>Ankit</v>
      </c>
      <c r="E19" s="2" t="s">
        <v>33</v>
      </c>
      <c r="F19" s="2" t="str">
        <f t="shared" si="7"/>
        <v>IT</v>
      </c>
      <c r="G19" s="6" t="s">
        <v>100</v>
      </c>
      <c r="H19" s="8">
        <f t="shared" si="8"/>
        <v>43917</v>
      </c>
      <c r="I19" s="2" t="s">
        <v>101</v>
      </c>
      <c r="J19" s="3">
        <f t="shared" ca="1" si="9"/>
        <v>44086</v>
      </c>
      <c r="K19" s="2">
        <v>9131591320</v>
      </c>
      <c r="L19" s="2">
        <f t="shared" si="10"/>
        <v>9131591320</v>
      </c>
      <c r="M19" s="2" t="s">
        <v>36</v>
      </c>
      <c r="N19" s="2" t="str">
        <f t="shared" si="11"/>
        <v>neha@company.com</v>
      </c>
      <c r="O19" s="12">
        <v>35910</v>
      </c>
      <c r="P19" s="2" t="str">
        <f t="shared" si="0"/>
        <v>20K-40K</v>
      </c>
      <c r="Q19" s="2"/>
      <c r="R19" s="2" t="s">
        <v>102</v>
      </c>
      <c r="S19" s="2" t="str">
        <f t="shared" si="1"/>
        <v>M20</v>
      </c>
      <c r="T19" s="2" t="s">
        <v>45</v>
      </c>
      <c r="U19" s="2" t="str">
        <f t="shared" si="12"/>
        <v>RESIGNED</v>
      </c>
      <c r="V19" s="2">
        <f t="shared" ca="1" si="2"/>
        <v>169</v>
      </c>
      <c r="W19" s="2">
        <f t="shared" ca="1" si="3"/>
        <v>5</v>
      </c>
      <c r="X19" s="2">
        <f t="shared" ca="1" si="4"/>
        <v>0</v>
      </c>
      <c r="Y19" s="2"/>
      <c r="Z19" s="2"/>
      <c r="AA19" s="2" t="str">
        <f t="shared" ca="1" si="13"/>
        <v>OK</v>
      </c>
    </row>
    <row r="20" spans="1:27" x14ac:dyDescent="0.3">
      <c r="A20" s="2" t="s">
        <v>103</v>
      </c>
      <c r="B20" s="2" t="str">
        <f t="shared" si="5"/>
        <v>EMP19</v>
      </c>
      <c r="C20" s="2" t="s">
        <v>104</v>
      </c>
      <c r="D20" s="2" t="str">
        <f t="shared" si="6"/>
        <v>Vikas</v>
      </c>
      <c r="E20" s="2" t="s">
        <v>57</v>
      </c>
      <c r="F20" s="2" t="str">
        <f t="shared" si="7"/>
        <v>HR</v>
      </c>
      <c r="G20" s="6" t="s">
        <v>105</v>
      </c>
      <c r="H20" s="8">
        <f t="shared" si="8"/>
        <v>43851</v>
      </c>
      <c r="I20" s="2" t="s">
        <v>106</v>
      </c>
      <c r="J20" s="3">
        <f t="shared" ca="1" si="9"/>
        <v>44874</v>
      </c>
      <c r="K20" s="2">
        <v>9544962090</v>
      </c>
      <c r="L20" s="2">
        <f t="shared" si="10"/>
        <v>9544962090</v>
      </c>
      <c r="M20" s="2" t="s">
        <v>107</v>
      </c>
      <c r="N20" s="2" t="str">
        <f t="shared" si="11"/>
        <v>vikas@company.com</v>
      </c>
      <c r="O20" s="12">
        <v>30231</v>
      </c>
      <c r="P20" s="2" t="str">
        <f t="shared" si="0"/>
        <v>20K-40K</v>
      </c>
      <c r="Q20" s="2"/>
      <c r="R20" s="2" t="s">
        <v>108</v>
      </c>
      <c r="S20" s="2" t="str">
        <f t="shared" si="1"/>
        <v>M10</v>
      </c>
      <c r="T20" s="2" t="s">
        <v>45</v>
      </c>
      <c r="U20" s="2" t="str">
        <f t="shared" si="12"/>
        <v>RESIGNED</v>
      </c>
      <c r="V20" s="2">
        <f t="shared" ca="1" si="2"/>
        <v>1023</v>
      </c>
      <c r="W20" s="2">
        <f t="shared" ca="1" si="3"/>
        <v>33</v>
      </c>
      <c r="X20" s="2">
        <f t="shared" ca="1" si="4"/>
        <v>2</v>
      </c>
      <c r="Y20" s="2"/>
      <c r="Z20" s="2"/>
      <c r="AA20" s="2" t="str">
        <f t="shared" ca="1" si="13"/>
        <v>OK</v>
      </c>
    </row>
    <row r="21" spans="1:27" x14ac:dyDescent="0.3">
      <c r="A21" s="2" t="s">
        <v>109</v>
      </c>
      <c r="B21" s="2" t="str">
        <f t="shared" si="5"/>
        <v>EMP20</v>
      </c>
      <c r="C21" s="2" t="s">
        <v>104</v>
      </c>
      <c r="D21" s="2" t="str">
        <f t="shared" si="6"/>
        <v>Vikas</v>
      </c>
      <c r="E21" s="2" t="s">
        <v>33</v>
      </c>
      <c r="F21" s="2" t="str">
        <f t="shared" si="7"/>
        <v>IT</v>
      </c>
      <c r="G21" s="6" t="s">
        <v>110</v>
      </c>
      <c r="H21" s="8">
        <f t="shared" si="8"/>
        <v>45161</v>
      </c>
      <c r="I21" s="2" t="s">
        <v>111</v>
      </c>
      <c r="J21" s="3">
        <f t="shared" ca="1" si="9"/>
        <v>45680</v>
      </c>
      <c r="K21" s="2">
        <v>9274871734</v>
      </c>
      <c r="L21" s="2">
        <f t="shared" si="10"/>
        <v>9274871734</v>
      </c>
      <c r="M21" s="2" t="s">
        <v>29</v>
      </c>
      <c r="N21" s="2" t="str">
        <f t="shared" si="11"/>
        <v>suresh@company.com</v>
      </c>
      <c r="O21" s="12">
        <v>75026</v>
      </c>
      <c r="P21" s="2" t="str">
        <f t="shared" si="0"/>
        <v>60K-80K</v>
      </c>
      <c r="Q21" s="2"/>
      <c r="R21" s="2" t="s">
        <v>30</v>
      </c>
      <c r="S21" s="2" t="str">
        <f t="shared" si="1"/>
        <v>M3</v>
      </c>
      <c r="T21" s="2" t="s">
        <v>17</v>
      </c>
      <c r="U21" s="2" t="str">
        <f t="shared" si="12"/>
        <v>RESIGNED</v>
      </c>
      <c r="V21" s="2">
        <f t="shared" ca="1" si="2"/>
        <v>519</v>
      </c>
      <c r="W21" s="2">
        <f t="shared" ca="1" si="3"/>
        <v>17</v>
      </c>
      <c r="X21" s="2">
        <f t="shared" ca="1" si="4"/>
        <v>1</v>
      </c>
      <c r="Y21" s="2"/>
      <c r="Z21" s="2"/>
      <c r="AA21" s="2" t="str">
        <f t="shared" ca="1" si="13"/>
        <v>OK</v>
      </c>
    </row>
    <row r="22" spans="1:27" x14ac:dyDescent="0.3">
      <c r="A22" s="2" t="s">
        <v>112</v>
      </c>
      <c r="B22" s="2" t="str">
        <f t="shared" si="5"/>
        <v>EMP21</v>
      </c>
      <c r="C22" s="2" t="s">
        <v>96</v>
      </c>
      <c r="D22" s="2" t="str">
        <f t="shared" si="6"/>
        <v>Neha</v>
      </c>
      <c r="E22" s="2" t="s">
        <v>57</v>
      </c>
      <c r="F22" s="2" t="str">
        <f t="shared" si="7"/>
        <v>HR</v>
      </c>
      <c r="G22" s="6" t="s">
        <v>113</v>
      </c>
      <c r="H22" s="8">
        <f t="shared" si="8"/>
        <v>44763</v>
      </c>
      <c r="I22" s="2"/>
      <c r="J22" s="3">
        <f t="shared" ca="1" si="9"/>
        <v>46024</v>
      </c>
      <c r="K22" s="2">
        <v>9260910861</v>
      </c>
      <c r="L22" s="2">
        <f t="shared" si="10"/>
        <v>9260910861</v>
      </c>
      <c r="M22" s="2" t="s">
        <v>43</v>
      </c>
      <c r="N22" s="2" t="str">
        <f t="shared" si="11"/>
        <v>ravi@company.com</v>
      </c>
      <c r="O22" s="12">
        <v>56487</v>
      </c>
      <c r="P22" s="2" t="str">
        <f t="shared" si="0"/>
        <v>40K-60K</v>
      </c>
      <c r="Q22" s="2"/>
      <c r="R22" s="2" t="s">
        <v>44</v>
      </c>
      <c r="S22" s="2" t="str">
        <f t="shared" si="1"/>
        <v>M9</v>
      </c>
      <c r="T22" s="2" t="s">
        <v>31</v>
      </c>
      <c r="U22" s="2" t="str">
        <f t="shared" si="12"/>
        <v>ON HOLD</v>
      </c>
      <c r="V22" s="2">
        <f t="shared" ca="1" si="2"/>
        <v>1261</v>
      </c>
      <c r="W22" s="2">
        <f t="shared" ca="1" si="3"/>
        <v>41</v>
      </c>
      <c r="X22" s="2">
        <f t="shared" ca="1" si="4"/>
        <v>3</v>
      </c>
      <c r="Y22" s="2"/>
      <c r="Z22" s="2"/>
      <c r="AA22" s="2" t="str">
        <f t="shared" ca="1" si="13"/>
        <v>OK</v>
      </c>
    </row>
    <row r="23" spans="1:27" x14ac:dyDescent="0.3">
      <c r="A23" s="2" t="s">
        <v>114</v>
      </c>
      <c r="B23" s="2" t="str">
        <f t="shared" si="5"/>
        <v>EMP22</v>
      </c>
      <c r="C23" s="2" t="s">
        <v>115</v>
      </c>
      <c r="D23" s="2" t="str">
        <f t="shared" si="6"/>
        <v>Rahul</v>
      </c>
      <c r="E23" s="2" t="s">
        <v>26</v>
      </c>
      <c r="F23" s="2" t="str">
        <f t="shared" si="7"/>
        <v>HR</v>
      </c>
      <c r="G23" s="6" t="s">
        <v>116</v>
      </c>
      <c r="H23" s="8">
        <f t="shared" si="8"/>
        <v>44685</v>
      </c>
      <c r="I23" s="2" t="s">
        <v>117</v>
      </c>
      <c r="J23" s="3">
        <f t="shared" ca="1" si="9"/>
        <v>45377</v>
      </c>
      <c r="K23" s="2">
        <v>9864320135</v>
      </c>
      <c r="L23" s="2">
        <f t="shared" si="10"/>
        <v>9864320135</v>
      </c>
      <c r="M23" s="2" t="s">
        <v>118</v>
      </c>
      <c r="N23" s="2" t="str">
        <f t="shared" si="11"/>
        <v>rahul@company.com</v>
      </c>
      <c r="O23" s="12">
        <v>13552</v>
      </c>
      <c r="P23" s="2" t="str">
        <f t="shared" si="0"/>
        <v>Below 20K</v>
      </c>
      <c r="Q23" s="2"/>
      <c r="R23" s="2" t="s">
        <v>61</v>
      </c>
      <c r="S23" s="2" t="str">
        <f t="shared" si="1"/>
        <v>M13</v>
      </c>
      <c r="T23" s="2" t="s">
        <v>17</v>
      </c>
      <c r="U23" s="2" t="str">
        <f t="shared" si="12"/>
        <v>RESIGNED</v>
      </c>
      <c r="V23" s="2">
        <f t="shared" ca="1" si="2"/>
        <v>692</v>
      </c>
      <c r="W23" s="2">
        <f t="shared" ca="1" si="3"/>
        <v>22</v>
      </c>
      <c r="X23" s="2">
        <f t="shared" ca="1" si="4"/>
        <v>1</v>
      </c>
      <c r="Y23" s="2"/>
      <c r="Z23" s="2"/>
      <c r="AA23" s="2" t="str">
        <f t="shared" ca="1" si="13"/>
        <v>OK</v>
      </c>
    </row>
    <row r="24" spans="1:27" x14ac:dyDescent="0.3">
      <c r="A24" s="2" t="s">
        <v>119</v>
      </c>
      <c r="B24" s="2" t="str">
        <f t="shared" si="5"/>
        <v>EMP23</v>
      </c>
      <c r="C24" s="2" t="s">
        <v>104</v>
      </c>
      <c r="D24" s="2" t="str">
        <f t="shared" si="6"/>
        <v>Vikas</v>
      </c>
      <c r="E24" s="2" t="s">
        <v>33</v>
      </c>
      <c r="F24" s="2" t="str">
        <f t="shared" si="7"/>
        <v>IT</v>
      </c>
      <c r="G24" s="6" t="s">
        <v>120</v>
      </c>
      <c r="H24" s="8">
        <f t="shared" si="8"/>
        <v>44918</v>
      </c>
      <c r="I24" s="2" t="s">
        <v>121</v>
      </c>
      <c r="J24" s="3">
        <f t="shared" ca="1" si="9"/>
        <v>45409</v>
      </c>
      <c r="K24" s="2">
        <v>9967616524</v>
      </c>
      <c r="L24" s="2">
        <f t="shared" si="10"/>
        <v>9967616524</v>
      </c>
      <c r="M24" s="2" t="s">
        <v>51</v>
      </c>
      <c r="N24" s="2" t="str">
        <f t="shared" si="11"/>
        <v>kiran@company.com</v>
      </c>
      <c r="O24" s="12">
        <v>20431</v>
      </c>
      <c r="P24" s="2" t="str">
        <f t="shared" si="0"/>
        <v>20K-40K</v>
      </c>
      <c r="Q24" s="2"/>
      <c r="R24" s="2" t="s">
        <v>122</v>
      </c>
      <c r="S24" s="2" t="str">
        <f t="shared" si="1"/>
        <v>M5</v>
      </c>
      <c r="T24" s="2" t="s">
        <v>31</v>
      </c>
      <c r="U24" s="2" t="str">
        <f t="shared" si="12"/>
        <v>ON HOLD</v>
      </c>
      <c r="V24" s="2">
        <f t="shared" ca="1" si="2"/>
        <v>491</v>
      </c>
      <c r="W24" s="2">
        <f t="shared" ca="1" si="3"/>
        <v>16</v>
      </c>
      <c r="X24" s="2">
        <f t="shared" ca="1" si="4"/>
        <v>1</v>
      </c>
      <c r="Y24" s="2"/>
      <c r="Z24" s="2"/>
      <c r="AA24" s="2" t="str">
        <f t="shared" ca="1" si="13"/>
        <v>OK</v>
      </c>
    </row>
    <row r="25" spans="1:27" x14ac:dyDescent="0.3">
      <c r="A25" s="2" t="s">
        <v>123</v>
      </c>
      <c r="B25" s="2" t="str">
        <f t="shared" si="5"/>
        <v>EMP24</v>
      </c>
      <c r="C25" s="2" t="s">
        <v>63</v>
      </c>
      <c r="D25" s="2" t="str">
        <f t="shared" si="6"/>
        <v>Pooja</v>
      </c>
      <c r="E25" s="2" t="s">
        <v>26</v>
      </c>
      <c r="F25" s="2" t="str">
        <f t="shared" si="7"/>
        <v>HR</v>
      </c>
      <c r="G25" s="6" t="s">
        <v>124</v>
      </c>
      <c r="H25" s="8">
        <f t="shared" si="8"/>
        <v>44347</v>
      </c>
      <c r="I25" s="2" t="s">
        <v>125</v>
      </c>
      <c r="J25" s="3">
        <f t="shared" ca="1" si="9"/>
        <v>45741</v>
      </c>
      <c r="K25" s="2">
        <v>9540236491</v>
      </c>
      <c r="L25" s="2">
        <f t="shared" si="10"/>
        <v>9540236491</v>
      </c>
      <c r="M25" s="2" t="s">
        <v>126</v>
      </c>
      <c r="N25" s="2" t="str">
        <f t="shared" si="11"/>
        <v>neha@gmail.com</v>
      </c>
      <c r="O25" s="12">
        <v>89209</v>
      </c>
      <c r="P25" s="2" t="str">
        <f t="shared" si="0"/>
        <v>Above 80K</v>
      </c>
      <c r="Q25" s="2"/>
      <c r="R25" s="2" t="s">
        <v>127</v>
      </c>
      <c r="S25" s="2" t="str">
        <f t="shared" si="1"/>
        <v>M19</v>
      </c>
      <c r="T25" s="2" t="s">
        <v>37</v>
      </c>
      <c r="U25" s="2" t="str">
        <f t="shared" si="12"/>
        <v>ACTIVE</v>
      </c>
      <c r="V25" s="2">
        <f t="shared" ca="1" si="2"/>
        <v>1394</v>
      </c>
      <c r="W25" s="2">
        <f t="shared" ca="1" si="3"/>
        <v>45</v>
      </c>
      <c r="X25" s="2">
        <f t="shared" ca="1" si="4"/>
        <v>3</v>
      </c>
      <c r="Y25" s="2"/>
      <c r="Z25" s="2"/>
      <c r="AA25" s="2" t="str">
        <f t="shared" ca="1" si="13"/>
        <v>OK</v>
      </c>
    </row>
    <row r="26" spans="1:27" x14ac:dyDescent="0.3">
      <c r="A26" s="2" t="s">
        <v>128</v>
      </c>
      <c r="B26" s="2" t="str">
        <f t="shared" si="5"/>
        <v>EMP25</v>
      </c>
      <c r="C26" s="2" t="s">
        <v>47</v>
      </c>
      <c r="D26" s="2" t="str">
        <f t="shared" si="6"/>
        <v>Sunita</v>
      </c>
      <c r="E26" s="2" t="s">
        <v>129</v>
      </c>
      <c r="F26" s="2" t="str">
        <f t="shared" si="7"/>
        <v>SALES</v>
      </c>
      <c r="G26" s="6" t="s">
        <v>130</v>
      </c>
      <c r="H26" s="8">
        <f t="shared" si="8"/>
        <v>43781</v>
      </c>
      <c r="I26" s="2" t="s">
        <v>131</v>
      </c>
      <c r="J26" s="3">
        <f t="shared" ca="1" si="9"/>
        <v>44370</v>
      </c>
      <c r="K26" s="2">
        <v>9335638101</v>
      </c>
      <c r="L26" s="2">
        <f t="shared" si="10"/>
        <v>9335638101</v>
      </c>
      <c r="M26" s="2" t="s">
        <v>36</v>
      </c>
      <c r="N26" s="2" t="str">
        <f t="shared" si="11"/>
        <v>neha@company.com</v>
      </c>
      <c r="O26" s="12">
        <v>26420</v>
      </c>
      <c r="P26" s="2" t="str">
        <f t="shared" si="0"/>
        <v>20K-40K</v>
      </c>
      <c r="Q26" s="2"/>
      <c r="R26" s="2" t="s">
        <v>79</v>
      </c>
      <c r="S26" s="2" t="str">
        <f t="shared" si="1"/>
        <v>M20</v>
      </c>
      <c r="T26" s="2" t="s">
        <v>45</v>
      </c>
      <c r="U26" s="2" t="str">
        <f t="shared" si="12"/>
        <v>RESIGNED</v>
      </c>
      <c r="V26" s="2">
        <f t="shared" ca="1" si="2"/>
        <v>589</v>
      </c>
      <c r="W26" s="2">
        <f t="shared" ca="1" si="3"/>
        <v>19</v>
      </c>
      <c r="X26" s="2">
        <f t="shared" ca="1" si="4"/>
        <v>1</v>
      </c>
      <c r="Y26" s="2"/>
      <c r="Z26" s="2"/>
      <c r="AA26" s="2" t="str">
        <f t="shared" ca="1" si="13"/>
        <v>OK</v>
      </c>
    </row>
    <row r="27" spans="1:27" x14ac:dyDescent="0.3">
      <c r="A27" s="2" t="s">
        <v>132</v>
      </c>
      <c r="B27" s="2" t="str">
        <f t="shared" si="5"/>
        <v>EMP26</v>
      </c>
      <c r="C27" s="2" t="s">
        <v>47</v>
      </c>
      <c r="D27" s="2" t="str">
        <f t="shared" si="6"/>
        <v>Sunita</v>
      </c>
      <c r="E27" s="2" t="s">
        <v>129</v>
      </c>
      <c r="F27" s="2" t="str">
        <f t="shared" si="7"/>
        <v>SALES</v>
      </c>
      <c r="G27" s="6" t="s">
        <v>133</v>
      </c>
      <c r="H27" s="8">
        <f t="shared" si="8"/>
        <v>43562</v>
      </c>
      <c r="I27" s="2" t="s">
        <v>134</v>
      </c>
      <c r="J27" s="3">
        <f t="shared" ca="1" si="9"/>
        <v>44392</v>
      </c>
      <c r="K27" s="2">
        <v>9567209295</v>
      </c>
      <c r="L27" s="2">
        <f t="shared" si="10"/>
        <v>9567209295</v>
      </c>
      <c r="M27" s="2" t="s">
        <v>118</v>
      </c>
      <c r="N27" s="2" t="str">
        <f t="shared" si="11"/>
        <v>rahul@company.com</v>
      </c>
      <c r="O27" s="12">
        <v>48833</v>
      </c>
      <c r="P27" s="2" t="str">
        <f t="shared" si="0"/>
        <v>40K-60K</v>
      </c>
      <c r="Q27" s="2"/>
      <c r="R27" s="2" t="s">
        <v>135</v>
      </c>
      <c r="S27" s="2" t="str">
        <f t="shared" si="1"/>
        <v>M15</v>
      </c>
      <c r="T27" s="2" t="s">
        <v>37</v>
      </c>
      <c r="U27" s="2" t="str">
        <f t="shared" si="12"/>
        <v>ACTIVE</v>
      </c>
      <c r="V27" s="2">
        <f t="shared" ca="1" si="2"/>
        <v>830</v>
      </c>
      <c r="W27" s="2">
        <f t="shared" ca="1" si="3"/>
        <v>27</v>
      </c>
      <c r="X27" s="2">
        <f t="shared" ca="1" si="4"/>
        <v>2</v>
      </c>
      <c r="Y27" s="2"/>
      <c r="Z27" s="2"/>
      <c r="AA27" s="2" t="str">
        <f t="shared" ca="1" si="13"/>
        <v>OK</v>
      </c>
    </row>
    <row r="28" spans="1:27" x14ac:dyDescent="0.3">
      <c r="A28" s="2" t="s">
        <v>136</v>
      </c>
      <c r="B28" s="2" t="str">
        <f t="shared" si="5"/>
        <v>EMP27</v>
      </c>
      <c r="C28" s="2" t="s">
        <v>39</v>
      </c>
      <c r="D28" s="2" t="str">
        <f t="shared" si="6"/>
        <v>Amit</v>
      </c>
      <c r="E28" s="2" t="s">
        <v>48</v>
      </c>
      <c r="F28" s="2" t="str">
        <f t="shared" si="7"/>
        <v>FINANCE</v>
      </c>
      <c r="G28" s="6" t="s">
        <v>137</v>
      </c>
      <c r="H28" s="8">
        <f t="shared" si="8"/>
        <v>45011</v>
      </c>
      <c r="I28" s="2" t="s">
        <v>138</v>
      </c>
      <c r="J28" s="3">
        <f t="shared" ca="1" si="9"/>
        <v>46352</v>
      </c>
      <c r="K28" s="2">
        <v>9430931644</v>
      </c>
      <c r="L28" s="2">
        <f t="shared" si="10"/>
        <v>9430931644</v>
      </c>
      <c r="M28" s="2" t="s">
        <v>29</v>
      </c>
      <c r="N28" s="2" t="str">
        <f t="shared" si="11"/>
        <v>suresh@company.com</v>
      </c>
      <c r="O28" s="12">
        <v>17678</v>
      </c>
      <c r="P28" s="2" t="str">
        <f t="shared" si="0"/>
        <v>Below 20K</v>
      </c>
      <c r="Q28" s="2"/>
      <c r="R28" s="2" t="s">
        <v>139</v>
      </c>
      <c r="S28" s="2" t="str">
        <f t="shared" si="1"/>
        <v>M25</v>
      </c>
      <c r="T28" s="2" t="s">
        <v>31</v>
      </c>
      <c r="U28" s="2" t="str">
        <f t="shared" si="12"/>
        <v>ON HOLD</v>
      </c>
      <c r="V28" s="2">
        <f t="shared" ca="1" si="2"/>
        <v>1341</v>
      </c>
      <c r="W28" s="2">
        <f t="shared" ca="1" si="3"/>
        <v>44</v>
      </c>
      <c r="X28" s="2">
        <f t="shared" ca="1" si="4"/>
        <v>3</v>
      </c>
      <c r="Y28" s="2"/>
      <c r="Z28" s="2"/>
      <c r="AA28" s="2" t="str">
        <f t="shared" ca="1" si="13"/>
        <v>OK</v>
      </c>
    </row>
    <row r="29" spans="1:27" x14ac:dyDescent="0.3">
      <c r="A29" s="2" t="s">
        <v>140</v>
      </c>
      <c r="B29" s="2" t="str">
        <f t="shared" si="5"/>
        <v>EMP28</v>
      </c>
      <c r="C29" s="2" t="s">
        <v>104</v>
      </c>
      <c r="D29" s="2" t="str">
        <f t="shared" si="6"/>
        <v>Vikas</v>
      </c>
      <c r="E29" s="2" t="s">
        <v>40</v>
      </c>
      <c r="F29" s="2" t="str">
        <f t="shared" si="7"/>
        <v>SALES</v>
      </c>
      <c r="G29" s="6" t="s">
        <v>141</v>
      </c>
      <c r="H29" s="8">
        <f t="shared" si="8"/>
        <v>44330</v>
      </c>
      <c r="I29" s="2"/>
      <c r="J29" s="3">
        <f t="shared" ca="1" si="9"/>
        <v>46024</v>
      </c>
      <c r="K29" s="2">
        <v>9695781322</v>
      </c>
      <c r="L29" s="2">
        <f t="shared" si="10"/>
        <v>9695781322</v>
      </c>
      <c r="M29" s="2" t="s">
        <v>84</v>
      </c>
      <c r="N29" s="2" t="str">
        <f t="shared" si="11"/>
        <v>ankit@company.com</v>
      </c>
      <c r="O29" s="12">
        <v>52795</v>
      </c>
      <c r="P29" s="2" t="str">
        <f t="shared" si="0"/>
        <v>40K-60K</v>
      </c>
      <c r="Q29" s="2"/>
      <c r="R29" s="2" t="s">
        <v>142</v>
      </c>
      <c r="S29" s="2" t="str">
        <f t="shared" si="1"/>
        <v>M23</v>
      </c>
      <c r="T29" s="2" t="s">
        <v>37</v>
      </c>
      <c r="U29" s="2" t="str">
        <f t="shared" si="12"/>
        <v>ACTIVE</v>
      </c>
      <c r="V29" s="2">
        <f t="shared" ca="1" si="2"/>
        <v>1694</v>
      </c>
      <c r="W29" s="2">
        <f t="shared" ca="1" si="3"/>
        <v>55</v>
      </c>
      <c r="X29" s="2">
        <f t="shared" ca="1" si="4"/>
        <v>4</v>
      </c>
      <c r="Y29" s="2"/>
      <c r="Z29" s="2"/>
      <c r="AA29" s="2" t="str">
        <f t="shared" ca="1" si="13"/>
        <v>OK</v>
      </c>
    </row>
    <row r="30" spans="1:27" x14ac:dyDescent="0.3">
      <c r="A30" s="2" t="s">
        <v>143</v>
      </c>
      <c r="B30" s="2" t="str">
        <f t="shared" si="5"/>
        <v>EMP29</v>
      </c>
      <c r="C30" s="2" t="s">
        <v>104</v>
      </c>
      <c r="D30" s="2" t="str">
        <f t="shared" si="6"/>
        <v>Vikas</v>
      </c>
      <c r="E30" s="2" t="s">
        <v>48</v>
      </c>
      <c r="F30" s="2" t="str">
        <f t="shared" si="7"/>
        <v>FINANCE</v>
      </c>
      <c r="G30" s="6" t="s">
        <v>144</v>
      </c>
      <c r="H30" s="8">
        <f t="shared" si="8"/>
        <v>44352</v>
      </c>
      <c r="I30" s="2" t="s">
        <v>145</v>
      </c>
      <c r="J30" s="3">
        <f t="shared" ca="1" si="9"/>
        <v>45658</v>
      </c>
      <c r="K30" s="2">
        <v>9119025269</v>
      </c>
      <c r="L30" s="2">
        <f t="shared" si="10"/>
        <v>9119025269</v>
      </c>
      <c r="M30" s="2" t="s">
        <v>29</v>
      </c>
      <c r="N30" s="2" t="str">
        <f t="shared" si="11"/>
        <v>suresh@company.com</v>
      </c>
      <c r="O30" s="12">
        <v>16285</v>
      </c>
      <c r="P30" s="2" t="str">
        <f t="shared" si="0"/>
        <v>Below 20K</v>
      </c>
      <c r="Q30" s="2"/>
      <c r="R30" s="2" t="s">
        <v>127</v>
      </c>
      <c r="S30" s="2" t="str">
        <f t="shared" si="1"/>
        <v>M19</v>
      </c>
      <c r="T30" s="2" t="s">
        <v>31</v>
      </c>
      <c r="U30" s="2" t="str">
        <f t="shared" si="12"/>
        <v>ON HOLD</v>
      </c>
      <c r="V30" s="2">
        <f t="shared" ca="1" si="2"/>
        <v>1306</v>
      </c>
      <c r="W30" s="2">
        <f t="shared" ca="1" si="3"/>
        <v>42</v>
      </c>
      <c r="X30" s="2">
        <f t="shared" ca="1" si="4"/>
        <v>3</v>
      </c>
      <c r="Y30" s="2"/>
      <c r="Z30" s="2"/>
      <c r="AA30" s="2" t="str">
        <f t="shared" ca="1" si="13"/>
        <v>OK</v>
      </c>
    </row>
    <row r="31" spans="1:27" x14ac:dyDescent="0.3">
      <c r="A31" s="2" t="s">
        <v>146</v>
      </c>
      <c r="B31" s="2" t="str">
        <f t="shared" si="5"/>
        <v>EMP30</v>
      </c>
      <c r="C31" s="2" t="s">
        <v>115</v>
      </c>
      <c r="D31" s="2" t="str">
        <f t="shared" si="6"/>
        <v>Rahul</v>
      </c>
      <c r="E31" s="2" t="s">
        <v>48</v>
      </c>
      <c r="F31" s="2" t="str">
        <f t="shared" si="7"/>
        <v>FINANCE</v>
      </c>
      <c r="G31" s="6" t="s">
        <v>147</v>
      </c>
      <c r="H31" s="8">
        <f t="shared" si="8"/>
        <v>43491</v>
      </c>
      <c r="I31" s="2" t="s">
        <v>148</v>
      </c>
      <c r="J31" s="3">
        <f t="shared" ca="1" si="9"/>
        <v>44602</v>
      </c>
      <c r="K31" s="2">
        <v>9903352588</v>
      </c>
      <c r="L31" s="2">
        <f t="shared" si="10"/>
        <v>9903352588</v>
      </c>
      <c r="M31" s="2" t="s">
        <v>51</v>
      </c>
      <c r="N31" s="2" t="str">
        <f t="shared" si="11"/>
        <v>kiran@company.com</v>
      </c>
      <c r="O31" s="12">
        <v>16098</v>
      </c>
      <c r="P31" s="2" t="str">
        <f t="shared" si="0"/>
        <v>Below 20K</v>
      </c>
      <c r="Q31" s="2"/>
      <c r="R31" s="2" t="s">
        <v>71</v>
      </c>
      <c r="S31" s="2" t="str">
        <f t="shared" si="1"/>
        <v>M14</v>
      </c>
      <c r="T31" s="2" t="s">
        <v>149</v>
      </c>
      <c r="U31" s="2" t="str">
        <f t="shared" si="12"/>
        <v>ACTIVE</v>
      </c>
      <c r="V31" s="2">
        <f t="shared" ca="1" si="2"/>
        <v>1111</v>
      </c>
      <c r="W31" s="2">
        <f t="shared" ca="1" si="3"/>
        <v>36</v>
      </c>
      <c r="X31" s="2">
        <f t="shared" ca="1" si="4"/>
        <v>3</v>
      </c>
      <c r="Y31" s="2"/>
      <c r="Z31" s="2"/>
      <c r="AA31" s="2" t="str">
        <f t="shared" ca="1" si="13"/>
        <v>OK</v>
      </c>
    </row>
    <row r="32" spans="1:27" x14ac:dyDescent="0.3">
      <c r="A32" s="2" t="s">
        <v>150</v>
      </c>
      <c r="B32" s="2" t="str">
        <f t="shared" si="5"/>
        <v>EMP31</v>
      </c>
      <c r="C32" s="2" t="s">
        <v>81</v>
      </c>
      <c r="D32" s="2" t="str">
        <f t="shared" si="6"/>
        <v>Suresh</v>
      </c>
      <c r="E32" s="2" t="s">
        <v>129</v>
      </c>
      <c r="F32" s="2" t="str">
        <f t="shared" si="7"/>
        <v>SALES</v>
      </c>
      <c r="G32" s="6" t="s">
        <v>151</v>
      </c>
      <c r="H32" s="8">
        <f t="shared" si="8"/>
        <v>45175</v>
      </c>
      <c r="I32" s="2" t="s">
        <v>152</v>
      </c>
      <c r="J32" s="3">
        <f t="shared" ca="1" si="9"/>
        <v>46575</v>
      </c>
      <c r="K32" s="2">
        <v>9728495167</v>
      </c>
      <c r="L32" s="2">
        <f t="shared" si="10"/>
        <v>9728495167</v>
      </c>
      <c r="M32" s="2" t="s">
        <v>107</v>
      </c>
      <c r="N32" s="2" t="str">
        <f t="shared" si="11"/>
        <v>vikas@company.com</v>
      </c>
      <c r="O32" s="12">
        <v>31220</v>
      </c>
      <c r="P32" s="2" t="str">
        <f t="shared" si="0"/>
        <v>20K-40K</v>
      </c>
      <c r="Q32" s="2"/>
      <c r="R32" s="2" t="s">
        <v>71</v>
      </c>
      <c r="S32" s="2" t="str">
        <f t="shared" si="1"/>
        <v>M14</v>
      </c>
      <c r="T32" s="2" t="s">
        <v>17</v>
      </c>
      <c r="U32" s="2" t="str">
        <f t="shared" si="12"/>
        <v>RESIGNED</v>
      </c>
      <c r="V32" s="2">
        <f t="shared" ca="1" si="2"/>
        <v>1400</v>
      </c>
      <c r="W32" s="2">
        <f t="shared" ca="1" si="3"/>
        <v>46</v>
      </c>
      <c r="X32" s="2">
        <f t="shared" ca="1" si="4"/>
        <v>3</v>
      </c>
      <c r="Y32" s="2"/>
      <c r="Z32" s="2"/>
      <c r="AA32" s="2" t="str">
        <f t="shared" ca="1" si="13"/>
        <v>OK</v>
      </c>
    </row>
    <row r="33" spans="1:27" x14ac:dyDescent="0.3">
      <c r="A33" s="2" t="s">
        <v>153</v>
      </c>
      <c r="B33" s="2" t="str">
        <f t="shared" si="5"/>
        <v>EMP32</v>
      </c>
      <c r="C33" s="2" t="s">
        <v>104</v>
      </c>
      <c r="D33" s="2" t="str">
        <f t="shared" si="6"/>
        <v>Vikas</v>
      </c>
      <c r="E33" s="2" t="s">
        <v>129</v>
      </c>
      <c r="F33" s="2" t="str">
        <f t="shared" si="7"/>
        <v>SALES</v>
      </c>
      <c r="G33" s="6" t="s">
        <v>154</v>
      </c>
      <c r="H33" s="8">
        <f t="shared" si="8"/>
        <v>45232</v>
      </c>
      <c r="I33" s="2" t="s">
        <v>155</v>
      </c>
      <c r="J33" s="3">
        <f t="shared" ca="1" si="9"/>
        <v>46323</v>
      </c>
      <c r="K33" s="2">
        <v>9693492287</v>
      </c>
      <c r="L33" s="2">
        <f t="shared" si="10"/>
        <v>9693492287</v>
      </c>
      <c r="M33" s="2" t="s">
        <v>94</v>
      </c>
      <c r="N33" s="2" t="str">
        <f t="shared" si="11"/>
        <v>suresh@gmail.com</v>
      </c>
      <c r="O33" s="12">
        <v>58293</v>
      </c>
      <c r="P33" s="2" t="str">
        <f t="shared" si="0"/>
        <v>40K-60K</v>
      </c>
      <c r="Q33" s="2"/>
      <c r="R33" s="2" t="s">
        <v>156</v>
      </c>
      <c r="S33" s="2" t="str">
        <f t="shared" si="1"/>
        <v>M6</v>
      </c>
      <c r="T33" s="2" t="s">
        <v>37</v>
      </c>
      <c r="U33" s="2" t="str">
        <f t="shared" si="12"/>
        <v>ACTIVE</v>
      </c>
      <c r="V33" s="2">
        <f t="shared" ca="1" si="2"/>
        <v>1091</v>
      </c>
      <c r="W33" s="2">
        <f t="shared" ca="1" si="3"/>
        <v>35</v>
      </c>
      <c r="X33" s="2">
        <f t="shared" ca="1" si="4"/>
        <v>2</v>
      </c>
      <c r="Y33" s="2"/>
      <c r="Z33" s="2"/>
      <c r="AA33" s="2" t="str">
        <f t="shared" ca="1" si="13"/>
        <v>OK</v>
      </c>
    </row>
    <row r="34" spans="1:27" x14ac:dyDescent="0.3">
      <c r="A34" s="2" t="s">
        <v>157</v>
      </c>
      <c r="B34" s="2" t="str">
        <f t="shared" si="5"/>
        <v>EMP33</v>
      </c>
      <c r="C34" s="2" t="s">
        <v>96</v>
      </c>
      <c r="D34" s="2" t="str">
        <f t="shared" si="6"/>
        <v>Neha</v>
      </c>
      <c r="E34" s="2" t="s">
        <v>12</v>
      </c>
      <c r="F34" s="2" t="str">
        <f t="shared" si="7"/>
        <v>IT</v>
      </c>
      <c r="G34" s="6" t="s">
        <v>158</v>
      </c>
      <c r="H34" s="8">
        <f t="shared" si="8"/>
        <v>44155</v>
      </c>
      <c r="I34" s="2" t="s">
        <v>159</v>
      </c>
      <c r="J34" s="3">
        <f t="shared" ca="1" si="9"/>
        <v>44829</v>
      </c>
      <c r="K34" s="2">
        <v>9314756300</v>
      </c>
      <c r="L34" s="2">
        <f t="shared" si="10"/>
        <v>9314756300</v>
      </c>
      <c r="M34" s="2" t="s">
        <v>70</v>
      </c>
      <c r="N34" s="2" t="str">
        <f t="shared" si="11"/>
        <v>sunita@company.com</v>
      </c>
      <c r="O34" s="12">
        <v>33146</v>
      </c>
      <c r="P34" s="2" t="str">
        <f t="shared" si="0"/>
        <v>20K-40K</v>
      </c>
      <c r="Q34" s="2"/>
      <c r="R34" s="2" t="s">
        <v>142</v>
      </c>
      <c r="S34" s="2" t="str">
        <f t="shared" si="1"/>
        <v>M23</v>
      </c>
      <c r="T34" s="2" t="s">
        <v>149</v>
      </c>
      <c r="U34" s="2" t="str">
        <f t="shared" si="12"/>
        <v>ACTIVE</v>
      </c>
      <c r="V34" s="2">
        <f t="shared" ca="1" si="2"/>
        <v>674</v>
      </c>
      <c r="W34" s="2">
        <f t="shared" ca="1" si="3"/>
        <v>22</v>
      </c>
      <c r="X34" s="2">
        <f t="shared" ca="1" si="4"/>
        <v>1</v>
      </c>
      <c r="Y34" s="2"/>
      <c r="Z34" s="2"/>
      <c r="AA34" s="2" t="str">
        <f t="shared" ca="1" si="13"/>
        <v>OK</v>
      </c>
    </row>
    <row r="35" spans="1:27" x14ac:dyDescent="0.3">
      <c r="A35" s="2" t="s">
        <v>160</v>
      </c>
      <c r="B35" s="2" t="str">
        <f t="shared" si="5"/>
        <v>EMP34</v>
      </c>
      <c r="C35" s="2" t="s">
        <v>161</v>
      </c>
      <c r="D35" s="2" t="str">
        <f t="shared" si="6"/>
        <v>Kiran</v>
      </c>
      <c r="E35" s="2" t="s">
        <v>12</v>
      </c>
      <c r="F35" s="2" t="str">
        <f t="shared" si="7"/>
        <v>IT</v>
      </c>
      <c r="G35" s="6" t="s">
        <v>162</v>
      </c>
      <c r="H35" s="8">
        <f t="shared" si="8"/>
        <v>45039</v>
      </c>
      <c r="I35" s="2" t="s">
        <v>163</v>
      </c>
      <c r="J35" s="3">
        <f t="shared" ca="1" si="9"/>
        <v>45906</v>
      </c>
      <c r="K35" s="2">
        <v>9590240821</v>
      </c>
      <c r="L35" s="2">
        <f t="shared" si="10"/>
        <v>9590240821</v>
      </c>
      <c r="M35" s="2" t="s">
        <v>15</v>
      </c>
      <c r="N35" s="2" t="str">
        <f t="shared" si="11"/>
        <v>amit@company.com</v>
      </c>
      <c r="O35" s="12">
        <v>59375</v>
      </c>
      <c r="P35" s="2" t="str">
        <f t="shared" si="0"/>
        <v>40K-60K</v>
      </c>
      <c r="Q35" s="2"/>
      <c r="R35" s="2" t="s">
        <v>75</v>
      </c>
      <c r="S35" s="2" t="str">
        <f t="shared" si="1"/>
        <v>M12</v>
      </c>
      <c r="T35" s="2" t="s">
        <v>37</v>
      </c>
      <c r="U35" s="2" t="str">
        <f t="shared" si="12"/>
        <v>ACTIVE</v>
      </c>
      <c r="V35" s="2">
        <f t="shared" ca="1" si="2"/>
        <v>867</v>
      </c>
      <c r="W35" s="2">
        <f t="shared" ca="1" si="3"/>
        <v>28</v>
      </c>
      <c r="X35" s="2">
        <f t="shared" ca="1" si="4"/>
        <v>2</v>
      </c>
      <c r="Y35" s="2"/>
      <c r="Z35" s="2"/>
      <c r="AA35" s="2" t="str">
        <f t="shared" ca="1" si="13"/>
        <v>OK</v>
      </c>
    </row>
    <row r="36" spans="1:27" x14ac:dyDescent="0.3">
      <c r="A36" s="2" t="s">
        <v>164</v>
      </c>
      <c r="B36" s="2" t="str">
        <f t="shared" si="5"/>
        <v>EMP35</v>
      </c>
      <c r="C36" s="2" t="s">
        <v>63</v>
      </c>
      <c r="D36" s="2" t="str">
        <f t="shared" si="6"/>
        <v>Pooja</v>
      </c>
      <c r="E36" s="2" t="s">
        <v>129</v>
      </c>
      <c r="F36" s="2" t="str">
        <f t="shared" si="7"/>
        <v>SALES</v>
      </c>
      <c r="G36" s="6" t="s">
        <v>165</v>
      </c>
      <c r="H36" s="8">
        <f t="shared" si="8"/>
        <v>45019</v>
      </c>
      <c r="I36" s="2"/>
      <c r="J36" s="3">
        <f t="shared" ca="1" si="9"/>
        <v>46024</v>
      </c>
      <c r="K36" s="2">
        <v>9113594175</v>
      </c>
      <c r="L36" s="2">
        <f t="shared" si="10"/>
        <v>9113594175</v>
      </c>
      <c r="M36" s="2" t="s">
        <v>118</v>
      </c>
      <c r="N36" s="2" t="str">
        <f t="shared" si="11"/>
        <v>rahul@company.com</v>
      </c>
      <c r="O36" s="12">
        <v>89758</v>
      </c>
      <c r="P36" s="2" t="str">
        <f t="shared" si="0"/>
        <v>Above 80K</v>
      </c>
      <c r="Q36" s="2"/>
      <c r="R36" s="2" t="s">
        <v>166</v>
      </c>
      <c r="S36" s="2" t="str">
        <f t="shared" si="1"/>
        <v>M7</v>
      </c>
      <c r="T36" s="2" t="s">
        <v>31</v>
      </c>
      <c r="U36" s="2" t="str">
        <f t="shared" si="12"/>
        <v>ON HOLD</v>
      </c>
      <c r="V36" s="2">
        <f t="shared" ca="1" si="2"/>
        <v>1005</v>
      </c>
      <c r="W36" s="2">
        <f t="shared" ca="1" si="3"/>
        <v>32</v>
      </c>
      <c r="X36" s="2">
        <f t="shared" ca="1" si="4"/>
        <v>2</v>
      </c>
      <c r="Y36" s="2"/>
      <c r="Z36" s="2"/>
      <c r="AA36" s="2" t="str">
        <f t="shared" ca="1" si="13"/>
        <v>OK</v>
      </c>
    </row>
    <row r="37" spans="1:27" x14ac:dyDescent="0.3">
      <c r="A37" s="2" t="s">
        <v>167</v>
      </c>
      <c r="B37" s="2" t="str">
        <f t="shared" si="5"/>
        <v>EMP36</v>
      </c>
      <c r="C37" s="2" t="s">
        <v>115</v>
      </c>
      <c r="D37" s="2" t="str">
        <f t="shared" si="6"/>
        <v>Rahul</v>
      </c>
      <c r="E37" s="2" t="s">
        <v>19</v>
      </c>
      <c r="F37" s="2" t="str">
        <f t="shared" si="7"/>
        <v>FINANCE</v>
      </c>
      <c r="G37" s="6" t="s">
        <v>168</v>
      </c>
      <c r="H37" s="8">
        <f t="shared" si="8"/>
        <v>44174</v>
      </c>
      <c r="I37" s="2" t="s">
        <v>169</v>
      </c>
      <c r="J37" s="3">
        <f t="shared" ca="1" si="9"/>
        <v>45053</v>
      </c>
      <c r="K37" s="2">
        <v>9272201115</v>
      </c>
      <c r="L37" s="2">
        <f t="shared" si="10"/>
        <v>9272201115</v>
      </c>
      <c r="M37" s="2" t="s">
        <v>43</v>
      </c>
      <c r="N37" s="2" t="str">
        <f t="shared" si="11"/>
        <v>ravi@company.com</v>
      </c>
      <c r="O37" s="12">
        <v>26049</v>
      </c>
      <c r="P37" s="2" t="str">
        <f t="shared" si="0"/>
        <v>20K-40K</v>
      </c>
      <c r="Q37" s="2"/>
      <c r="R37" s="2" t="s">
        <v>170</v>
      </c>
      <c r="S37" s="2" t="str">
        <f t="shared" si="1"/>
        <v>M16</v>
      </c>
      <c r="T37" s="2" t="s">
        <v>45</v>
      </c>
      <c r="U37" s="2" t="str">
        <f t="shared" si="12"/>
        <v>RESIGNED</v>
      </c>
      <c r="V37" s="2">
        <f t="shared" ca="1" si="2"/>
        <v>879</v>
      </c>
      <c r="W37" s="2">
        <f t="shared" ca="1" si="3"/>
        <v>28</v>
      </c>
      <c r="X37" s="2">
        <f t="shared" ca="1" si="4"/>
        <v>2</v>
      </c>
      <c r="Y37" s="2"/>
      <c r="Z37" s="2"/>
      <c r="AA37" s="2" t="str">
        <f t="shared" ca="1" si="13"/>
        <v>OK</v>
      </c>
    </row>
    <row r="38" spans="1:27" x14ac:dyDescent="0.3">
      <c r="A38" s="2" t="s">
        <v>171</v>
      </c>
      <c r="B38" s="2" t="str">
        <f t="shared" si="5"/>
        <v>EMP37</v>
      </c>
      <c r="C38" s="2" t="s">
        <v>25</v>
      </c>
      <c r="D38" s="2" t="str">
        <f t="shared" si="6"/>
        <v>Ankit</v>
      </c>
      <c r="E38" s="2" t="s">
        <v>26</v>
      </c>
      <c r="F38" s="2" t="str">
        <f t="shared" si="7"/>
        <v>HR</v>
      </c>
      <c r="G38" s="6" t="s">
        <v>172</v>
      </c>
      <c r="H38" s="8">
        <f t="shared" si="8"/>
        <v>43652</v>
      </c>
      <c r="I38" s="2" t="s">
        <v>173</v>
      </c>
      <c r="J38" s="3">
        <f t="shared" ca="1" si="9"/>
        <v>44276</v>
      </c>
      <c r="K38" s="2">
        <v>9390036297</v>
      </c>
      <c r="L38" s="2">
        <f t="shared" si="10"/>
        <v>9390036297</v>
      </c>
      <c r="M38" s="2" t="s">
        <v>15</v>
      </c>
      <c r="N38" s="2" t="str">
        <f t="shared" si="11"/>
        <v>amit@company.com</v>
      </c>
      <c r="O38" s="12">
        <v>44609</v>
      </c>
      <c r="P38" s="2" t="str">
        <f t="shared" si="0"/>
        <v>40K-60K</v>
      </c>
      <c r="Q38" s="2"/>
      <c r="R38" s="2" t="s">
        <v>55</v>
      </c>
      <c r="S38" s="2" t="str">
        <f t="shared" si="1"/>
        <v>M2</v>
      </c>
      <c r="T38" s="2" t="s">
        <v>31</v>
      </c>
      <c r="U38" s="2" t="str">
        <f t="shared" si="12"/>
        <v>ON HOLD</v>
      </c>
      <c r="V38" s="2">
        <f t="shared" ca="1" si="2"/>
        <v>624</v>
      </c>
      <c r="W38" s="2">
        <f t="shared" ca="1" si="3"/>
        <v>20</v>
      </c>
      <c r="X38" s="2">
        <f t="shared" ca="1" si="4"/>
        <v>1</v>
      </c>
      <c r="Y38" s="2"/>
      <c r="Z38" s="2"/>
      <c r="AA38" s="2" t="str">
        <f t="shared" ca="1" si="13"/>
        <v>OK</v>
      </c>
    </row>
    <row r="39" spans="1:27" x14ac:dyDescent="0.3">
      <c r="A39" s="2" t="s">
        <v>174</v>
      </c>
      <c r="B39" s="2" t="str">
        <f t="shared" si="5"/>
        <v>EMP38</v>
      </c>
      <c r="C39" s="2" t="s">
        <v>161</v>
      </c>
      <c r="D39" s="2" t="str">
        <f t="shared" si="6"/>
        <v>Kiran</v>
      </c>
      <c r="E39" s="2" t="s">
        <v>57</v>
      </c>
      <c r="F39" s="2" t="str">
        <f t="shared" si="7"/>
        <v>HR</v>
      </c>
      <c r="G39" s="6" t="s">
        <v>175</v>
      </c>
      <c r="H39" s="8">
        <f t="shared" si="8"/>
        <v>44234</v>
      </c>
      <c r="I39" s="2" t="s">
        <v>176</v>
      </c>
      <c r="J39" s="3">
        <f t="shared" ca="1" si="9"/>
        <v>44403</v>
      </c>
      <c r="K39" s="2">
        <v>9608496639</v>
      </c>
      <c r="L39" s="2">
        <f t="shared" si="10"/>
        <v>9608496639</v>
      </c>
      <c r="M39" s="2" t="s">
        <v>107</v>
      </c>
      <c r="N39" s="2" t="str">
        <f t="shared" si="11"/>
        <v>vikas@company.com</v>
      </c>
      <c r="O39" s="12">
        <v>38415</v>
      </c>
      <c r="P39" s="2" t="str">
        <f t="shared" si="0"/>
        <v>20K-40K</v>
      </c>
      <c r="Q39" s="2"/>
      <c r="R39" s="2" t="s">
        <v>142</v>
      </c>
      <c r="S39" s="2" t="str">
        <f t="shared" si="1"/>
        <v>M23</v>
      </c>
      <c r="T39" s="2" t="s">
        <v>149</v>
      </c>
      <c r="U39" s="2" t="str">
        <f t="shared" si="12"/>
        <v>ACTIVE</v>
      </c>
      <c r="V39" s="2">
        <f t="shared" ca="1" si="2"/>
        <v>169</v>
      </c>
      <c r="W39" s="2">
        <f t="shared" ca="1" si="3"/>
        <v>5</v>
      </c>
      <c r="X39" s="2">
        <f t="shared" ca="1" si="4"/>
        <v>0</v>
      </c>
      <c r="Y39" s="2"/>
      <c r="Z39" s="2"/>
      <c r="AA39" s="2" t="str">
        <f t="shared" ca="1" si="13"/>
        <v>OK</v>
      </c>
    </row>
    <row r="40" spans="1:27" x14ac:dyDescent="0.3">
      <c r="A40" s="2" t="s">
        <v>177</v>
      </c>
      <c r="B40" s="2" t="str">
        <f t="shared" si="5"/>
        <v>EMP39</v>
      </c>
      <c r="C40" s="2" t="s">
        <v>25</v>
      </c>
      <c r="D40" s="2" t="str">
        <f t="shared" si="6"/>
        <v>Ankit</v>
      </c>
      <c r="E40" s="2" t="s">
        <v>57</v>
      </c>
      <c r="F40" s="2" t="str">
        <f t="shared" si="7"/>
        <v>HR</v>
      </c>
      <c r="G40" s="6" t="s">
        <v>178</v>
      </c>
      <c r="H40" s="8">
        <f t="shared" si="8"/>
        <v>43997</v>
      </c>
      <c r="I40" s="2" t="s">
        <v>179</v>
      </c>
      <c r="J40" s="3">
        <f t="shared" ca="1" si="9"/>
        <v>44749</v>
      </c>
      <c r="K40" s="2">
        <v>9944362729</v>
      </c>
      <c r="L40" s="2">
        <f t="shared" si="10"/>
        <v>9944362729</v>
      </c>
      <c r="M40" s="2" t="s">
        <v>118</v>
      </c>
      <c r="N40" s="2" t="str">
        <f t="shared" si="11"/>
        <v>rahul@company.com</v>
      </c>
      <c r="O40" s="12">
        <v>53603</v>
      </c>
      <c r="P40" s="2" t="str">
        <f t="shared" si="0"/>
        <v>40K-60K</v>
      </c>
      <c r="Q40" s="2"/>
      <c r="R40" s="2" t="s">
        <v>75</v>
      </c>
      <c r="S40" s="2" t="str">
        <f t="shared" si="1"/>
        <v>M12</v>
      </c>
      <c r="T40" s="2" t="s">
        <v>31</v>
      </c>
      <c r="U40" s="2" t="str">
        <f t="shared" si="12"/>
        <v>ON HOLD</v>
      </c>
      <c r="V40" s="2">
        <f t="shared" ca="1" si="2"/>
        <v>752</v>
      </c>
      <c r="W40" s="2">
        <f t="shared" ca="1" si="3"/>
        <v>24</v>
      </c>
      <c r="X40" s="2">
        <f t="shared" ca="1" si="4"/>
        <v>2</v>
      </c>
      <c r="Y40" s="2"/>
      <c r="Z40" s="2"/>
      <c r="AA40" s="2" t="str">
        <f t="shared" ca="1" si="13"/>
        <v>OK</v>
      </c>
    </row>
    <row r="41" spans="1:27" x14ac:dyDescent="0.3">
      <c r="A41" s="2" t="s">
        <v>180</v>
      </c>
      <c r="B41" s="2" t="str">
        <f t="shared" si="5"/>
        <v>EMP40</v>
      </c>
      <c r="C41" s="2" t="s">
        <v>47</v>
      </c>
      <c r="D41" s="2" t="str">
        <f t="shared" si="6"/>
        <v>Sunita</v>
      </c>
      <c r="E41" s="2" t="s">
        <v>48</v>
      </c>
      <c r="F41" s="2" t="str">
        <f t="shared" si="7"/>
        <v>FINANCE</v>
      </c>
      <c r="G41" s="6" t="s">
        <v>181</v>
      </c>
      <c r="H41" s="8">
        <f t="shared" si="8"/>
        <v>43595</v>
      </c>
      <c r="I41" s="2" t="s">
        <v>182</v>
      </c>
      <c r="J41" s="3">
        <f t="shared" ca="1" si="9"/>
        <v>43868</v>
      </c>
      <c r="K41" s="2">
        <v>9366502902</v>
      </c>
      <c r="L41" s="2">
        <f t="shared" si="10"/>
        <v>9366502902</v>
      </c>
      <c r="M41" s="2" t="s">
        <v>94</v>
      </c>
      <c r="N41" s="2" t="str">
        <f t="shared" si="11"/>
        <v>suresh@gmail.com</v>
      </c>
      <c r="O41" s="12">
        <v>85170</v>
      </c>
      <c r="P41" s="2" t="str">
        <f t="shared" si="0"/>
        <v>Above 80K</v>
      </c>
      <c r="Q41" s="2"/>
      <c r="R41" s="2" t="s">
        <v>135</v>
      </c>
      <c r="S41" s="2" t="str">
        <f t="shared" si="1"/>
        <v>M15</v>
      </c>
      <c r="T41" s="2" t="s">
        <v>31</v>
      </c>
      <c r="U41" s="2" t="str">
        <f t="shared" si="12"/>
        <v>ON HOLD</v>
      </c>
      <c r="V41" s="2">
        <f t="shared" ca="1" si="2"/>
        <v>273</v>
      </c>
      <c r="W41" s="2">
        <f t="shared" ca="1" si="3"/>
        <v>8</v>
      </c>
      <c r="X41" s="2">
        <f t="shared" ca="1" si="4"/>
        <v>0</v>
      </c>
      <c r="Y41" s="2"/>
      <c r="Z41" s="2"/>
      <c r="AA41" s="2" t="str">
        <f t="shared" ca="1" si="13"/>
        <v>CHECK</v>
      </c>
    </row>
    <row r="42" spans="1:27" x14ac:dyDescent="0.3">
      <c r="A42" s="2" t="s">
        <v>183</v>
      </c>
      <c r="B42" s="2" t="str">
        <f t="shared" si="5"/>
        <v>EMP41</v>
      </c>
      <c r="C42" s="2" t="s">
        <v>96</v>
      </c>
      <c r="D42" s="2" t="str">
        <f t="shared" si="6"/>
        <v>Neha</v>
      </c>
      <c r="E42" s="2" t="s">
        <v>12</v>
      </c>
      <c r="F42" s="2" t="str">
        <f t="shared" si="7"/>
        <v>IT</v>
      </c>
      <c r="G42" s="6" t="s">
        <v>184</v>
      </c>
      <c r="H42" s="8">
        <f t="shared" si="8"/>
        <v>44694</v>
      </c>
      <c r="I42" s="2" t="s">
        <v>185</v>
      </c>
      <c r="J42" s="3">
        <f t="shared" ca="1" si="9"/>
        <v>44776</v>
      </c>
      <c r="K42" s="2">
        <v>9518335042</v>
      </c>
      <c r="L42" s="2">
        <f t="shared" si="10"/>
        <v>9518335042</v>
      </c>
      <c r="M42" s="2" t="s">
        <v>107</v>
      </c>
      <c r="N42" s="2" t="str">
        <f t="shared" si="11"/>
        <v>vikas@company.com</v>
      </c>
      <c r="O42" s="12">
        <v>46849</v>
      </c>
      <c r="P42" s="2" t="str">
        <f t="shared" si="0"/>
        <v>40K-60K</v>
      </c>
      <c r="Q42" s="2"/>
      <c r="R42" s="2" t="s">
        <v>186</v>
      </c>
      <c r="S42" s="2" t="str">
        <f t="shared" si="1"/>
        <v>M11</v>
      </c>
      <c r="T42" s="2" t="s">
        <v>45</v>
      </c>
      <c r="U42" s="2" t="str">
        <f t="shared" si="12"/>
        <v>RESIGNED</v>
      </c>
      <c r="V42" s="2">
        <f t="shared" ca="1" si="2"/>
        <v>82</v>
      </c>
      <c r="W42" s="2">
        <f t="shared" ca="1" si="3"/>
        <v>2</v>
      </c>
      <c r="X42" s="2">
        <f t="shared" ca="1" si="4"/>
        <v>0</v>
      </c>
      <c r="Y42" s="2"/>
      <c r="Z42" s="2"/>
      <c r="AA42" s="2" t="str">
        <f t="shared" ca="1" si="13"/>
        <v>OK</v>
      </c>
    </row>
    <row r="43" spans="1:27" x14ac:dyDescent="0.3">
      <c r="A43" s="2" t="s">
        <v>187</v>
      </c>
      <c r="B43" s="2" t="str">
        <f t="shared" si="5"/>
        <v>EMP42</v>
      </c>
      <c r="C43" s="2" t="s">
        <v>96</v>
      </c>
      <c r="D43" s="2" t="str">
        <f t="shared" si="6"/>
        <v>Neha</v>
      </c>
      <c r="E43" s="2" t="s">
        <v>33</v>
      </c>
      <c r="F43" s="2" t="str">
        <f t="shared" si="7"/>
        <v>IT</v>
      </c>
      <c r="G43" s="6" t="s">
        <v>188</v>
      </c>
      <c r="H43" s="8">
        <f t="shared" si="8"/>
        <v>43964</v>
      </c>
      <c r="I43" s="2"/>
      <c r="J43" s="3">
        <f t="shared" ca="1" si="9"/>
        <v>46024</v>
      </c>
      <c r="K43" s="2">
        <v>9338458698</v>
      </c>
      <c r="L43" s="2">
        <f t="shared" si="10"/>
        <v>9338458698</v>
      </c>
      <c r="M43" s="2" t="s">
        <v>15</v>
      </c>
      <c r="N43" s="2" t="str">
        <f t="shared" si="11"/>
        <v>amit@company.com</v>
      </c>
      <c r="O43" s="12">
        <v>42721</v>
      </c>
      <c r="P43" s="2" t="str">
        <f t="shared" si="0"/>
        <v>40K-60K</v>
      </c>
      <c r="Q43" s="2"/>
      <c r="R43" s="2" t="s">
        <v>52</v>
      </c>
      <c r="S43" s="2" t="str">
        <f t="shared" si="1"/>
        <v>M16</v>
      </c>
      <c r="T43" s="2" t="s">
        <v>31</v>
      </c>
      <c r="U43" s="2" t="str">
        <f t="shared" si="12"/>
        <v>ON HOLD</v>
      </c>
      <c r="V43" s="2">
        <f t="shared" ca="1" si="2"/>
        <v>2060</v>
      </c>
      <c r="W43" s="2">
        <f t="shared" ca="1" si="3"/>
        <v>67</v>
      </c>
      <c r="X43" s="2">
        <f t="shared" ca="1" si="4"/>
        <v>5</v>
      </c>
      <c r="Y43" s="2"/>
      <c r="Z43" s="2"/>
      <c r="AA43" s="2" t="str">
        <f t="shared" ca="1" si="13"/>
        <v>OK</v>
      </c>
    </row>
    <row r="44" spans="1:27" x14ac:dyDescent="0.3">
      <c r="A44" s="2" t="s">
        <v>189</v>
      </c>
      <c r="B44" s="2" t="str">
        <f t="shared" si="5"/>
        <v>EMP43</v>
      </c>
      <c r="C44" s="2" t="s">
        <v>161</v>
      </c>
      <c r="D44" s="2" t="str">
        <f t="shared" si="6"/>
        <v>Kiran</v>
      </c>
      <c r="E44" s="2" t="s">
        <v>40</v>
      </c>
      <c r="F44" s="2" t="str">
        <f t="shared" si="7"/>
        <v>SALES</v>
      </c>
      <c r="G44" s="6" t="s">
        <v>190</v>
      </c>
      <c r="H44" s="8">
        <f t="shared" si="8"/>
        <v>43963</v>
      </c>
      <c r="I44" s="2" t="s">
        <v>191</v>
      </c>
      <c r="J44" s="3">
        <f t="shared" ca="1" si="9"/>
        <v>44781</v>
      </c>
      <c r="K44" s="2">
        <v>9481702276</v>
      </c>
      <c r="L44" s="2">
        <f t="shared" si="10"/>
        <v>9481702276</v>
      </c>
      <c r="M44" s="2" t="s">
        <v>15</v>
      </c>
      <c r="N44" s="2" t="str">
        <f t="shared" si="11"/>
        <v>amit@company.com</v>
      </c>
      <c r="O44" s="12">
        <v>19172</v>
      </c>
      <c r="P44" s="2" t="str">
        <f t="shared" si="0"/>
        <v>Below 20K</v>
      </c>
      <c r="Q44" s="2"/>
      <c r="R44" s="2" t="s">
        <v>52</v>
      </c>
      <c r="S44" s="2" t="str">
        <f t="shared" si="1"/>
        <v>M16</v>
      </c>
      <c r="T44" s="2" t="s">
        <v>45</v>
      </c>
      <c r="U44" s="2" t="str">
        <f t="shared" si="12"/>
        <v>RESIGNED</v>
      </c>
      <c r="V44" s="2">
        <f t="shared" ca="1" si="2"/>
        <v>818</v>
      </c>
      <c r="W44" s="2">
        <f t="shared" ca="1" si="3"/>
        <v>26</v>
      </c>
      <c r="X44" s="2">
        <f t="shared" ca="1" si="4"/>
        <v>2</v>
      </c>
      <c r="Y44" s="2"/>
      <c r="Z44" s="2"/>
      <c r="AA44" s="2" t="str">
        <f t="shared" ca="1" si="13"/>
        <v>OK</v>
      </c>
    </row>
    <row r="45" spans="1:27" x14ac:dyDescent="0.3">
      <c r="A45" s="2" t="s">
        <v>192</v>
      </c>
      <c r="B45" s="2" t="str">
        <f t="shared" si="5"/>
        <v>EMP44</v>
      </c>
      <c r="C45" s="2" t="s">
        <v>96</v>
      </c>
      <c r="D45" s="2" t="str">
        <f t="shared" si="6"/>
        <v>Neha</v>
      </c>
      <c r="E45" s="2" t="s">
        <v>19</v>
      </c>
      <c r="F45" s="2" t="str">
        <f t="shared" si="7"/>
        <v>FINANCE</v>
      </c>
      <c r="G45" s="6" t="s">
        <v>193</v>
      </c>
      <c r="H45" s="8">
        <f t="shared" si="8"/>
        <v>43509</v>
      </c>
      <c r="I45" s="2" t="s">
        <v>194</v>
      </c>
      <c r="J45" s="3">
        <f t="shared" ca="1" si="9"/>
        <v>44256</v>
      </c>
      <c r="K45" s="2">
        <v>9491193009</v>
      </c>
      <c r="L45" s="2">
        <f t="shared" si="10"/>
        <v>9491193009</v>
      </c>
      <c r="M45" s="2" t="s">
        <v>22</v>
      </c>
      <c r="N45" s="2" t="str">
        <f t="shared" si="11"/>
        <v>pooja@company.com</v>
      </c>
      <c r="O45" s="12">
        <v>16034</v>
      </c>
      <c r="P45" s="2" t="str">
        <f t="shared" si="0"/>
        <v>Below 20K</v>
      </c>
      <c r="Q45" s="2"/>
      <c r="R45" s="2" t="s">
        <v>44</v>
      </c>
      <c r="S45" s="2" t="str">
        <f t="shared" si="1"/>
        <v>M9</v>
      </c>
      <c r="T45" s="2" t="s">
        <v>45</v>
      </c>
      <c r="U45" s="2" t="str">
        <f t="shared" si="12"/>
        <v>RESIGNED</v>
      </c>
      <c r="V45" s="2">
        <f t="shared" ca="1" si="2"/>
        <v>747</v>
      </c>
      <c r="W45" s="2">
        <f t="shared" ca="1" si="3"/>
        <v>24</v>
      </c>
      <c r="X45" s="2">
        <f t="shared" ca="1" si="4"/>
        <v>2</v>
      </c>
      <c r="Y45" s="2"/>
      <c r="Z45" s="2"/>
      <c r="AA45" s="2" t="str">
        <f t="shared" ca="1" si="13"/>
        <v>OK</v>
      </c>
    </row>
    <row r="46" spans="1:27" x14ac:dyDescent="0.3">
      <c r="A46" s="2" t="s">
        <v>195</v>
      </c>
      <c r="B46" s="2" t="str">
        <f t="shared" si="5"/>
        <v>EMP45</v>
      </c>
      <c r="C46" s="2" t="s">
        <v>11</v>
      </c>
      <c r="D46" s="2" t="str">
        <f t="shared" si="6"/>
        <v>Ravi</v>
      </c>
      <c r="E46" s="2" t="s">
        <v>33</v>
      </c>
      <c r="F46" s="2" t="str">
        <f t="shared" si="7"/>
        <v>IT</v>
      </c>
      <c r="G46" s="6" t="s">
        <v>196</v>
      </c>
      <c r="H46" s="8">
        <f t="shared" si="8"/>
        <v>44998</v>
      </c>
      <c r="I46" s="2" t="s">
        <v>197</v>
      </c>
      <c r="J46" s="3">
        <f t="shared" ca="1" si="9"/>
        <v>45606</v>
      </c>
      <c r="K46" s="2">
        <v>9360125412</v>
      </c>
      <c r="L46" s="2">
        <f t="shared" si="10"/>
        <v>9360125412</v>
      </c>
      <c r="M46" s="2" t="s">
        <v>84</v>
      </c>
      <c r="N46" s="2" t="str">
        <f t="shared" si="11"/>
        <v>ankit@company.com</v>
      </c>
      <c r="O46" s="12">
        <v>16405</v>
      </c>
      <c r="P46" s="2" t="str">
        <f t="shared" si="0"/>
        <v>Below 20K</v>
      </c>
      <c r="Q46" s="2"/>
      <c r="R46" s="2" t="s">
        <v>198</v>
      </c>
      <c r="S46" s="2" t="str">
        <f t="shared" si="1"/>
        <v>M21</v>
      </c>
      <c r="T46" s="2" t="s">
        <v>45</v>
      </c>
      <c r="U46" s="2" t="str">
        <f t="shared" si="12"/>
        <v>RESIGNED</v>
      </c>
      <c r="V46" s="2">
        <f t="shared" ca="1" si="2"/>
        <v>608</v>
      </c>
      <c r="W46" s="2">
        <f t="shared" ca="1" si="3"/>
        <v>19</v>
      </c>
      <c r="X46" s="2">
        <f t="shared" ca="1" si="4"/>
        <v>1</v>
      </c>
      <c r="Y46" s="2"/>
      <c r="Z46" s="2"/>
      <c r="AA46" s="2" t="str">
        <f t="shared" ca="1" si="13"/>
        <v>OK</v>
      </c>
    </row>
    <row r="47" spans="1:27" x14ac:dyDescent="0.3">
      <c r="A47" s="2" t="s">
        <v>199</v>
      </c>
      <c r="B47" s="2" t="str">
        <f t="shared" si="5"/>
        <v>EMP46</v>
      </c>
      <c r="C47" s="2" t="s">
        <v>161</v>
      </c>
      <c r="D47" s="2" t="str">
        <f t="shared" si="6"/>
        <v>Kiran</v>
      </c>
      <c r="E47" s="2" t="s">
        <v>57</v>
      </c>
      <c r="F47" s="2" t="str">
        <f t="shared" si="7"/>
        <v>HR</v>
      </c>
      <c r="G47" s="6" t="s">
        <v>200</v>
      </c>
      <c r="H47" s="8">
        <f t="shared" si="8"/>
        <v>44462</v>
      </c>
      <c r="I47" s="2" t="s">
        <v>201</v>
      </c>
      <c r="J47" s="3">
        <f t="shared" ca="1" si="9"/>
        <v>44928</v>
      </c>
      <c r="K47" s="2">
        <v>9920106801</v>
      </c>
      <c r="L47" s="2">
        <f t="shared" si="10"/>
        <v>9920106801</v>
      </c>
      <c r="M47" s="2" t="s">
        <v>51</v>
      </c>
      <c r="N47" s="2" t="str">
        <f t="shared" si="11"/>
        <v>kiran@company.com</v>
      </c>
      <c r="O47" s="12">
        <v>86501</v>
      </c>
      <c r="P47" s="2" t="str">
        <f t="shared" si="0"/>
        <v>Above 80K</v>
      </c>
      <c r="Q47" s="2"/>
      <c r="R47" s="2" t="s">
        <v>142</v>
      </c>
      <c r="S47" s="2" t="str">
        <f t="shared" si="1"/>
        <v>M23</v>
      </c>
      <c r="T47" s="2" t="s">
        <v>45</v>
      </c>
      <c r="U47" s="2" t="str">
        <f t="shared" si="12"/>
        <v>RESIGNED</v>
      </c>
      <c r="V47" s="2">
        <f t="shared" ca="1" si="2"/>
        <v>466</v>
      </c>
      <c r="W47" s="2">
        <f t="shared" ca="1" si="3"/>
        <v>15</v>
      </c>
      <c r="X47" s="2">
        <f t="shared" ca="1" si="4"/>
        <v>1</v>
      </c>
      <c r="Y47" s="2"/>
      <c r="Z47" s="2"/>
      <c r="AA47" s="2" t="str">
        <f t="shared" ca="1" si="13"/>
        <v>CHECK</v>
      </c>
    </row>
    <row r="48" spans="1:27" x14ac:dyDescent="0.3">
      <c r="A48" s="2" t="s">
        <v>202</v>
      </c>
      <c r="B48" s="2" t="str">
        <f t="shared" si="5"/>
        <v>EMP47</v>
      </c>
      <c r="C48" s="2" t="s">
        <v>81</v>
      </c>
      <c r="D48" s="2" t="str">
        <f t="shared" si="6"/>
        <v>Suresh</v>
      </c>
      <c r="E48" s="2" t="s">
        <v>40</v>
      </c>
      <c r="F48" s="2" t="str">
        <f t="shared" si="7"/>
        <v>SALES</v>
      </c>
      <c r="G48" s="6" t="s">
        <v>203</v>
      </c>
      <c r="H48" s="8">
        <f t="shared" si="8"/>
        <v>44831</v>
      </c>
      <c r="I48" s="2" t="s">
        <v>204</v>
      </c>
      <c r="J48" s="3">
        <f t="shared" ca="1" si="9"/>
        <v>45976</v>
      </c>
      <c r="K48" s="2">
        <v>9333110185</v>
      </c>
      <c r="L48" s="2">
        <f t="shared" si="10"/>
        <v>9333110185</v>
      </c>
      <c r="M48" s="2" t="s">
        <v>36</v>
      </c>
      <c r="N48" s="2" t="str">
        <f t="shared" si="11"/>
        <v>neha@company.com</v>
      </c>
      <c r="O48" s="12">
        <v>72627</v>
      </c>
      <c r="P48" s="2" t="str">
        <f t="shared" si="0"/>
        <v>60K-80K</v>
      </c>
      <c r="Q48" s="2"/>
      <c r="R48" s="2" t="s">
        <v>205</v>
      </c>
      <c r="S48" s="2" t="str">
        <f t="shared" si="1"/>
        <v>M21</v>
      </c>
      <c r="T48" s="2" t="s">
        <v>45</v>
      </c>
      <c r="U48" s="2" t="str">
        <f t="shared" si="12"/>
        <v>RESIGNED</v>
      </c>
      <c r="V48" s="2">
        <f t="shared" ca="1" si="2"/>
        <v>1145</v>
      </c>
      <c r="W48" s="2">
        <f t="shared" ca="1" si="3"/>
        <v>37</v>
      </c>
      <c r="X48" s="2">
        <f t="shared" ca="1" si="4"/>
        <v>3</v>
      </c>
      <c r="Y48" s="2"/>
      <c r="Z48" s="2"/>
      <c r="AA48" s="2" t="str">
        <f t="shared" ca="1" si="13"/>
        <v>OK</v>
      </c>
    </row>
    <row r="49" spans="1:27" x14ac:dyDescent="0.3">
      <c r="A49" s="2" t="s">
        <v>206</v>
      </c>
      <c r="B49" s="2" t="str">
        <f t="shared" si="5"/>
        <v>EMP48</v>
      </c>
      <c r="C49" s="2" t="s">
        <v>104</v>
      </c>
      <c r="D49" s="2" t="str">
        <f t="shared" si="6"/>
        <v>Vikas</v>
      </c>
      <c r="E49" s="2" t="s">
        <v>48</v>
      </c>
      <c r="F49" s="2" t="str">
        <f t="shared" si="7"/>
        <v>FINANCE</v>
      </c>
      <c r="G49" s="6" t="s">
        <v>207</v>
      </c>
      <c r="H49" s="8">
        <f t="shared" si="8"/>
        <v>45183</v>
      </c>
      <c r="I49" s="2" t="s">
        <v>208</v>
      </c>
      <c r="J49" s="3">
        <f t="shared" ca="1" si="9"/>
        <v>46492</v>
      </c>
      <c r="K49" s="2">
        <v>9592016666</v>
      </c>
      <c r="L49" s="2">
        <f t="shared" si="10"/>
        <v>9592016666</v>
      </c>
      <c r="M49" s="2" t="s">
        <v>209</v>
      </c>
      <c r="N49" s="2" t="str">
        <f t="shared" si="11"/>
        <v>sunita@gmail.com</v>
      </c>
      <c r="O49" s="12">
        <v>22249</v>
      </c>
      <c r="P49" s="2" t="str">
        <f t="shared" si="0"/>
        <v>20K-40K</v>
      </c>
      <c r="Q49" s="2"/>
      <c r="R49" s="2" t="s">
        <v>75</v>
      </c>
      <c r="S49" s="2" t="str">
        <f t="shared" si="1"/>
        <v>M12</v>
      </c>
      <c r="T49" s="2" t="s">
        <v>37</v>
      </c>
      <c r="U49" s="2" t="str">
        <f t="shared" si="12"/>
        <v>ACTIVE</v>
      </c>
      <c r="V49" s="2">
        <f t="shared" ca="1" si="2"/>
        <v>1309</v>
      </c>
      <c r="W49" s="2">
        <f t="shared" ca="1" si="3"/>
        <v>43</v>
      </c>
      <c r="X49" s="2">
        <f t="shared" ca="1" si="4"/>
        <v>3</v>
      </c>
      <c r="Y49" s="2"/>
      <c r="Z49" s="2"/>
      <c r="AA49" s="2" t="str">
        <f t="shared" ca="1" si="13"/>
        <v>OK</v>
      </c>
    </row>
    <row r="50" spans="1:27" x14ac:dyDescent="0.3">
      <c r="A50" s="2" t="s">
        <v>210</v>
      </c>
      <c r="B50" s="2" t="str">
        <f t="shared" si="5"/>
        <v>EMP49</v>
      </c>
      <c r="C50" s="2" t="s">
        <v>104</v>
      </c>
      <c r="D50" s="2" t="str">
        <f t="shared" si="6"/>
        <v>Vikas</v>
      </c>
      <c r="E50" s="2" t="s">
        <v>26</v>
      </c>
      <c r="F50" s="2" t="str">
        <f t="shared" si="7"/>
        <v>HR</v>
      </c>
      <c r="G50" s="6" t="s">
        <v>211</v>
      </c>
      <c r="H50" s="8">
        <f t="shared" si="8"/>
        <v>44005</v>
      </c>
      <c r="I50" s="2"/>
      <c r="J50" s="3">
        <f t="shared" ca="1" si="9"/>
        <v>46024</v>
      </c>
      <c r="K50" s="2">
        <v>9732789985</v>
      </c>
      <c r="L50" s="2">
        <f t="shared" si="10"/>
        <v>9732789985</v>
      </c>
      <c r="M50" s="2" t="s">
        <v>22</v>
      </c>
      <c r="N50" s="2" t="str">
        <f t="shared" si="11"/>
        <v>pooja@company.com</v>
      </c>
      <c r="O50" s="12">
        <v>28257</v>
      </c>
      <c r="P50" s="2" t="str">
        <f t="shared" si="0"/>
        <v>20K-40K</v>
      </c>
      <c r="Q50" s="2"/>
      <c r="R50" s="2" t="s">
        <v>212</v>
      </c>
      <c r="S50" s="2" t="str">
        <f t="shared" si="1"/>
        <v>M18</v>
      </c>
      <c r="T50" s="2" t="s">
        <v>45</v>
      </c>
      <c r="U50" s="2" t="str">
        <f t="shared" si="12"/>
        <v>RESIGNED</v>
      </c>
      <c r="V50" s="2">
        <f t="shared" ca="1" si="2"/>
        <v>2019</v>
      </c>
      <c r="W50" s="2">
        <f t="shared" ca="1" si="3"/>
        <v>66</v>
      </c>
      <c r="X50" s="2">
        <f t="shared" ca="1" si="4"/>
        <v>5</v>
      </c>
      <c r="Y50" s="2"/>
      <c r="Z50" s="2"/>
      <c r="AA50" s="2" t="str">
        <f t="shared" ca="1" si="13"/>
        <v>OK</v>
      </c>
    </row>
    <row r="51" spans="1:27" x14ac:dyDescent="0.3">
      <c r="A51" s="2" t="s">
        <v>213</v>
      </c>
      <c r="B51" s="2" t="str">
        <f t="shared" si="5"/>
        <v>EMP50</v>
      </c>
      <c r="C51" s="2" t="s">
        <v>104</v>
      </c>
      <c r="D51" s="2" t="str">
        <f t="shared" si="6"/>
        <v>Vikas</v>
      </c>
      <c r="E51" s="2" t="s">
        <v>19</v>
      </c>
      <c r="F51" s="2" t="str">
        <f t="shared" si="7"/>
        <v>FINANCE</v>
      </c>
      <c r="G51" s="6" t="s">
        <v>214</v>
      </c>
      <c r="H51" s="8">
        <f t="shared" si="8"/>
        <v>43466</v>
      </c>
      <c r="I51" s="2" t="s">
        <v>215</v>
      </c>
      <c r="J51" s="3">
        <f t="shared" ca="1" si="9"/>
        <v>44303</v>
      </c>
      <c r="K51" s="2">
        <v>9978655464</v>
      </c>
      <c r="L51" s="2">
        <f t="shared" si="10"/>
        <v>9978655464</v>
      </c>
      <c r="M51" s="2" t="s">
        <v>22</v>
      </c>
      <c r="N51" s="2" t="str">
        <f t="shared" si="11"/>
        <v>pooja@company.com</v>
      </c>
      <c r="O51" s="12">
        <v>22344</v>
      </c>
      <c r="P51" s="2" t="str">
        <f t="shared" si="0"/>
        <v>20K-40K</v>
      </c>
      <c r="Q51" s="2"/>
      <c r="R51" s="2" t="s">
        <v>61</v>
      </c>
      <c r="S51" s="2" t="str">
        <f t="shared" si="1"/>
        <v>M13</v>
      </c>
      <c r="T51" s="2" t="s">
        <v>149</v>
      </c>
      <c r="U51" s="2" t="str">
        <f t="shared" si="12"/>
        <v>ACTIVE</v>
      </c>
      <c r="V51" s="2">
        <f t="shared" ca="1" si="2"/>
        <v>837</v>
      </c>
      <c r="W51" s="2">
        <f t="shared" ca="1" si="3"/>
        <v>27</v>
      </c>
      <c r="X51" s="2">
        <f t="shared" ca="1" si="4"/>
        <v>2</v>
      </c>
      <c r="Y51" s="2"/>
      <c r="Z51" s="2"/>
      <c r="AA51" s="2" t="str">
        <f t="shared" ca="1" si="13"/>
        <v>OK</v>
      </c>
    </row>
    <row r="52" spans="1:27" x14ac:dyDescent="0.3">
      <c r="A52" s="2" t="s">
        <v>216</v>
      </c>
      <c r="B52" s="2" t="str">
        <f t="shared" si="5"/>
        <v>EMP51</v>
      </c>
      <c r="C52" s="2" t="s">
        <v>39</v>
      </c>
      <c r="D52" s="2" t="str">
        <f t="shared" si="6"/>
        <v>Amit</v>
      </c>
      <c r="E52" s="2" t="s">
        <v>12</v>
      </c>
      <c r="F52" s="2" t="str">
        <f t="shared" si="7"/>
        <v>IT</v>
      </c>
      <c r="G52" s="6" t="s">
        <v>217</v>
      </c>
      <c r="H52" s="8">
        <f t="shared" si="8"/>
        <v>44388</v>
      </c>
      <c r="I52" s="2" t="s">
        <v>218</v>
      </c>
      <c r="J52" s="3">
        <f t="shared" ca="1" si="9"/>
        <v>44930</v>
      </c>
      <c r="K52" s="2">
        <v>9280073325</v>
      </c>
      <c r="L52" s="2">
        <f t="shared" si="10"/>
        <v>9280073325</v>
      </c>
      <c r="M52" s="2" t="s">
        <v>118</v>
      </c>
      <c r="N52" s="2" t="str">
        <f t="shared" si="11"/>
        <v>rahul@company.com</v>
      </c>
      <c r="O52" s="12">
        <v>89535</v>
      </c>
      <c r="P52" s="2" t="str">
        <f t="shared" si="0"/>
        <v>Above 80K</v>
      </c>
      <c r="Q52" s="2"/>
      <c r="R52" s="2" t="s">
        <v>186</v>
      </c>
      <c r="S52" s="2" t="str">
        <f t="shared" si="1"/>
        <v>M11</v>
      </c>
      <c r="T52" s="2" t="s">
        <v>45</v>
      </c>
      <c r="U52" s="2" t="str">
        <f t="shared" si="12"/>
        <v>RESIGNED</v>
      </c>
      <c r="V52" s="2">
        <f t="shared" ca="1" si="2"/>
        <v>542</v>
      </c>
      <c r="W52" s="2">
        <f t="shared" ca="1" si="3"/>
        <v>17</v>
      </c>
      <c r="X52" s="2">
        <f t="shared" ca="1" si="4"/>
        <v>1</v>
      </c>
      <c r="Y52" s="2"/>
      <c r="Z52" s="2"/>
      <c r="AA52" s="2" t="str">
        <f t="shared" ca="1" si="13"/>
        <v>CHECK</v>
      </c>
    </row>
    <row r="53" spans="1:27" x14ac:dyDescent="0.3">
      <c r="A53" s="2" t="s">
        <v>219</v>
      </c>
      <c r="B53" s="2" t="str">
        <f t="shared" si="5"/>
        <v>EMP52</v>
      </c>
      <c r="C53" s="2" t="s">
        <v>47</v>
      </c>
      <c r="D53" s="2" t="str">
        <f t="shared" si="6"/>
        <v>Sunita</v>
      </c>
      <c r="E53" s="2" t="s">
        <v>12</v>
      </c>
      <c r="F53" s="2" t="str">
        <f t="shared" si="7"/>
        <v>IT</v>
      </c>
      <c r="G53" s="6" t="s">
        <v>220</v>
      </c>
      <c r="H53" s="8">
        <f t="shared" si="8"/>
        <v>44548</v>
      </c>
      <c r="I53" s="2" t="s">
        <v>221</v>
      </c>
      <c r="J53" s="3">
        <f t="shared" ca="1" si="9"/>
        <v>44722</v>
      </c>
      <c r="K53" s="2">
        <v>9574905802</v>
      </c>
      <c r="L53" s="2">
        <f t="shared" si="10"/>
        <v>9574905802</v>
      </c>
      <c r="M53" s="2" t="s">
        <v>118</v>
      </c>
      <c r="N53" s="2" t="str">
        <f t="shared" si="11"/>
        <v>rahul@company.com</v>
      </c>
      <c r="O53" s="12">
        <v>41332</v>
      </c>
      <c r="P53" s="2" t="str">
        <f t="shared" si="0"/>
        <v>40K-60K</v>
      </c>
      <c r="Q53" s="2"/>
      <c r="R53" s="2" t="s">
        <v>205</v>
      </c>
      <c r="S53" s="2" t="str">
        <f t="shared" si="1"/>
        <v>M21</v>
      </c>
      <c r="T53" s="2" t="s">
        <v>149</v>
      </c>
      <c r="U53" s="2" t="str">
        <f t="shared" si="12"/>
        <v>ACTIVE</v>
      </c>
      <c r="V53" s="2">
        <f t="shared" ca="1" si="2"/>
        <v>174</v>
      </c>
      <c r="W53" s="2">
        <f t="shared" ca="1" si="3"/>
        <v>5</v>
      </c>
      <c r="X53" s="2">
        <f t="shared" ca="1" si="4"/>
        <v>0</v>
      </c>
      <c r="Y53" s="2"/>
      <c r="Z53" s="2"/>
      <c r="AA53" s="2" t="str">
        <f t="shared" ca="1" si="13"/>
        <v>OK</v>
      </c>
    </row>
    <row r="54" spans="1:27" x14ac:dyDescent="0.3">
      <c r="A54" s="2" t="s">
        <v>222</v>
      </c>
      <c r="B54" s="2" t="str">
        <f t="shared" si="5"/>
        <v>EMP53</v>
      </c>
      <c r="C54" s="2" t="s">
        <v>25</v>
      </c>
      <c r="D54" s="2" t="str">
        <f t="shared" si="6"/>
        <v>Ankit</v>
      </c>
      <c r="E54" s="2" t="s">
        <v>12</v>
      </c>
      <c r="F54" s="2" t="str">
        <f t="shared" si="7"/>
        <v>IT</v>
      </c>
      <c r="G54" s="6" t="s">
        <v>223</v>
      </c>
      <c r="H54" s="8">
        <f t="shared" si="8"/>
        <v>44241</v>
      </c>
      <c r="I54" s="2" t="s">
        <v>224</v>
      </c>
      <c r="J54" s="3">
        <f t="shared" ca="1" si="9"/>
        <v>45288</v>
      </c>
      <c r="K54" s="2">
        <v>9150264705</v>
      </c>
      <c r="L54" s="2">
        <f t="shared" si="10"/>
        <v>9150264705</v>
      </c>
      <c r="M54" s="2" t="s">
        <v>29</v>
      </c>
      <c r="N54" s="2" t="str">
        <f t="shared" si="11"/>
        <v>suresh@company.com</v>
      </c>
      <c r="O54" s="12">
        <v>51286</v>
      </c>
      <c r="P54" s="2" t="str">
        <f t="shared" si="0"/>
        <v>40K-60K</v>
      </c>
      <c r="Q54" s="2"/>
      <c r="R54" s="2" t="s">
        <v>44</v>
      </c>
      <c r="S54" s="2" t="str">
        <f t="shared" si="1"/>
        <v>M9</v>
      </c>
      <c r="T54" s="2" t="s">
        <v>37</v>
      </c>
      <c r="U54" s="2" t="str">
        <f t="shared" si="12"/>
        <v>ACTIVE</v>
      </c>
      <c r="V54" s="2">
        <f t="shared" ca="1" si="2"/>
        <v>1047</v>
      </c>
      <c r="W54" s="2">
        <f t="shared" ca="1" si="3"/>
        <v>34</v>
      </c>
      <c r="X54" s="2">
        <f t="shared" ca="1" si="4"/>
        <v>2</v>
      </c>
      <c r="Y54" s="2"/>
      <c r="Z54" s="2"/>
      <c r="AA54" s="2" t="str">
        <f t="shared" ca="1" si="13"/>
        <v>OK</v>
      </c>
    </row>
    <row r="55" spans="1:27" x14ac:dyDescent="0.3">
      <c r="A55" s="2" t="s">
        <v>225</v>
      </c>
      <c r="B55" s="2" t="str">
        <f t="shared" si="5"/>
        <v>EMP54</v>
      </c>
      <c r="C55" s="2" t="s">
        <v>104</v>
      </c>
      <c r="D55" s="2" t="str">
        <f t="shared" si="6"/>
        <v>Vikas</v>
      </c>
      <c r="E55" s="2" t="s">
        <v>33</v>
      </c>
      <c r="F55" s="2" t="str">
        <f t="shared" si="7"/>
        <v>IT</v>
      </c>
      <c r="G55" s="6" t="s">
        <v>226</v>
      </c>
      <c r="H55" s="8">
        <f t="shared" si="8"/>
        <v>44522</v>
      </c>
      <c r="I55" s="2" t="s">
        <v>227</v>
      </c>
      <c r="J55" s="3">
        <f t="shared" ca="1" si="9"/>
        <v>45303</v>
      </c>
      <c r="K55" s="2">
        <v>9269938449</v>
      </c>
      <c r="L55" s="2">
        <f t="shared" si="10"/>
        <v>9269938449</v>
      </c>
      <c r="M55" s="2" t="s">
        <v>29</v>
      </c>
      <c r="N55" s="2" t="str">
        <f t="shared" si="11"/>
        <v>suresh@company.com</v>
      </c>
      <c r="O55" s="12">
        <v>88282</v>
      </c>
      <c r="P55" s="2" t="str">
        <f t="shared" si="0"/>
        <v>Above 80K</v>
      </c>
      <c r="Q55" s="2"/>
      <c r="R55" s="2" t="s">
        <v>228</v>
      </c>
      <c r="S55" s="2" t="str">
        <f t="shared" si="1"/>
        <v>M15</v>
      </c>
      <c r="T55" s="2" t="s">
        <v>31</v>
      </c>
      <c r="U55" s="2" t="str">
        <f t="shared" si="12"/>
        <v>ON HOLD</v>
      </c>
      <c r="V55" s="2">
        <f t="shared" ca="1" si="2"/>
        <v>781</v>
      </c>
      <c r="W55" s="2">
        <f t="shared" ca="1" si="3"/>
        <v>25</v>
      </c>
      <c r="X55" s="2">
        <f t="shared" ca="1" si="4"/>
        <v>2</v>
      </c>
      <c r="Y55" s="2"/>
      <c r="Z55" s="2"/>
      <c r="AA55" s="2" t="str">
        <f t="shared" ca="1" si="13"/>
        <v>OK</v>
      </c>
    </row>
    <row r="56" spans="1:27" x14ac:dyDescent="0.3">
      <c r="A56" s="2" t="s">
        <v>229</v>
      </c>
      <c r="B56" s="2" t="str">
        <f t="shared" si="5"/>
        <v>EMP55</v>
      </c>
      <c r="C56" s="2" t="s">
        <v>11</v>
      </c>
      <c r="D56" s="2" t="str">
        <f t="shared" si="6"/>
        <v>Ravi</v>
      </c>
      <c r="E56" s="2" t="s">
        <v>40</v>
      </c>
      <c r="F56" s="2" t="str">
        <f t="shared" si="7"/>
        <v>SALES</v>
      </c>
      <c r="G56" s="6" t="s">
        <v>230</v>
      </c>
      <c r="H56" s="8">
        <f t="shared" si="8"/>
        <v>44778</v>
      </c>
      <c r="I56" s="2" t="s">
        <v>231</v>
      </c>
      <c r="J56" s="3">
        <f t="shared" ca="1" si="9"/>
        <v>46227</v>
      </c>
      <c r="K56" s="2">
        <v>9413347053</v>
      </c>
      <c r="L56" s="2">
        <f t="shared" si="10"/>
        <v>9413347053</v>
      </c>
      <c r="M56" s="2" t="s">
        <v>36</v>
      </c>
      <c r="N56" s="2" t="str">
        <f t="shared" si="11"/>
        <v>neha@company.com</v>
      </c>
      <c r="O56" s="12">
        <v>13846</v>
      </c>
      <c r="P56" s="2" t="str">
        <f t="shared" si="0"/>
        <v>Below 20K</v>
      </c>
      <c r="Q56" s="2"/>
      <c r="R56" s="2" t="s">
        <v>122</v>
      </c>
      <c r="S56" s="2" t="str">
        <f t="shared" si="1"/>
        <v>M5</v>
      </c>
      <c r="T56" s="2" t="s">
        <v>45</v>
      </c>
      <c r="U56" s="2" t="str">
        <f t="shared" si="12"/>
        <v>RESIGNED</v>
      </c>
      <c r="V56" s="2">
        <f t="shared" ca="1" si="2"/>
        <v>1449</v>
      </c>
      <c r="W56" s="2">
        <f t="shared" ca="1" si="3"/>
        <v>47</v>
      </c>
      <c r="X56" s="2">
        <f t="shared" ca="1" si="4"/>
        <v>3</v>
      </c>
      <c r="Y56" s="2"/>
      <c r="Z56" s="2"/>
      <c r="AA56" s="2" t="str">
        <f t="shared" ca="1" si="13"/>
        <v>OK</v>
      </c>
    </row>
    <row r="57" spans="1:27" x14ac:dyDescent="0.3">
      <c r="A57" s="2" t="s">
        <v>232</v>
      </c>
      <c r="B57" s="2" t="str">
        <f t="shared" si="5"/>
        <v>EMP56</v>
      </c>
      <c r="C57" s="2" t="s">
        <v>39</v>
      </c>
      <c r="D57" s="2" t="str">
        <f t="shared" si="6"/>
        <v>Amit</v>
      </c>
      <c r="E57" s="2" t="s">
        <v>26</v>
      </c>
      <c r="F57" s="2" t="str">
        <f t="shared" si="7"/>
        <v>HR</v>
      </c>
      <c r="G57" s="6" t="s">
        <v>233</v>
      </c>
      <c r="H57" s="8">
        <f t="shared" si="8"/>
        <v>45203</v>
      </c>
      <c r="I57" s="2"/>
      <c r="J57" s="3">
        <f t="shared" ca="1" si="9"/>
        <v>46024</v>
      </c>
      <c r="K57" s="2">
        <v>9966022829</v>
      </c>
      <c r="L57" s="2">
        <f t="shared" si="10"/>
        <v>9966022829</v>
      </c>
      <c r="M57" s="2" t="s">
        <v>234</v>
      </c>
      <c r="N57" s="2" t="str">
        <f t="shared" si="11"/>
        <v>amit@gmail.com</v>
      </c>
      <c r="O57" s="12">
        <v>38245</v>
      </c>
      <c r="P57" s="2" t="str">
        <f t="shared" si="0"/>
        <v>20K-40K</v>
      </c>
      <c r="Q57" s="2"/>
      <c r="R57" s="2" t="s">
        <v>235</v>
      </c>
      <c r="S57" s="2" t="str">
        <f t="shared" si="1"/>
        <v>M25</v>
      </c>
      <c r="T57" s="2" t="s">
        <v>37</v>
      </c>
      <c r="U57" s="2" t="str">
        <f t="shared" si="12"/>
        <v>ACTIVE</v>
      </c>
      <c r="V57" s="2">
        <f t="shared" ca="1" si="2"/>
        <v>821</v>
      </c>
      <c r="W57" s="2">
        <f t="shared" ca="1" si="3"/>
        <v>26</v>
      </c>
      <c r="X57" s="2">
        <f t="shared" ca="1" si="4"/>
        <v>2</v>
      </c>
      <c r="Y57" s="2"/>
      <c r="Z57" s="2"/>
      <c r="AA57" s="2" t="str">
        <f t="shared" ca="1" si="13"/>
        <v>OK</v>
      </c>
    </row>
    <row r="58" spans="1:27" x14ac:dyDescent="0.3">
      <c r="A58" s="2" t="s">
        <v>236</v>
      </c>
      <c r="B58" s="2" t="str">
        <f t="shared" si="5"/>
        <v>EMP57</v>
      </c>
      <c r="C58" s="2" t="s">
        <v>96</v>
      </c>
      <c r="D58" s="2" t="str">
        <f t="shared" si="6"/>
        <v>Neha</v>
      </c>
      <c r="E58" s="2" t="s">
        <v>19</v>
      </c>
      <c r="F58" s="2" t="str">
        <f t="shared" si="7"/>
        <v>FINANCE</v>
      </c>
      <c r="G58" s="6" t="s">
        <v>237</v>
      </c>
      <c r="H58" s="8">
        <f t="shared" si="8"/>
        <v>43663</v>
      </c>
      <c r="I58" s="2" t="s">
        <v>238</v>
      </c>
      <c r="J58" s="3">
        <f t="shared" ca="1" si="9"/>
        <v>45118</v>
      </c>
      <c r="K58" s="2">
        <v>9961338719</v>
      </c>
      <c r="L58" s="2">
        <f t="shared" si="10"/>
        <v>9961338719</v>
      </c>
      <c r="M58" s="2" t="s">
        <v>36</v>
      </c>
      <c r="N58" s="2" t="str">
        <f t="shared" si="11"/>
        <v>neha@company.com</v>
      </c>
      <c r="O58" s="12">
        <v>64469</v>
      </c>
      <c r="P58" s="2" t="str">
        <f t="shared" si="0"/>
        <v>60K-80K</v>
      </c>
      <c r="Q58" s="2"/>
      <c r="R58" s="2" t="s">
        <v>156</v>
      </c>
      <c r="S58" s="2" t="str">
        <f t="shared" si="1"/>
        <v>M6</v>
      </c>
      <c r="T58" s="2" t="s">
        <v>45</v>
      </c>
      <c r="U58" s="2" t="str">
        <f t="shared" si="12"/>
        <v>RESIGNED</v>
      </c>
      <c r="V58" s="2">
        <f t="shared" ca="1" si="2"/>
        <v>1455</v>
      </c>
      <c r="W58" s="2">
        <f t="shared" ca="1" si="3"/>
        <v>47</v>
      </c>
      <c r="X58" s="2">
        <f t="shared" ca="1" si="4"/>
        <v>3</v>
      </c>
      <c r="Y58" s="2"/>
      <c r="Z58" s="2"/>
      <c r="AA58" s="2" t="str">
        <f t="shared" ca="1" si="13"/>
        <v>OK</v>
      </c>
    </row>
    <row r="59" spans="1:27" x14ac:dyDescent="0.3">
      <c r="A59" s="2" t="s">
        <v>239</v>
      </c>
      <c r="B59" s="2" t="str">
        <f t="shared" si="5"/>
        <v>EMP58</v>
      </c>
      <c r="C59" s="2" t="s">
        <v>81</v>
      </c>
      <c r="D59" s="2" t="str">
        <f t="shared" si="6"/>
        <v>Suresh</v>
      </c>
      <c r="E59" s="2" t="s">
        <v>19</v>
      </c>
      <c r="F59" s="2" t="str">
        <f t="shared" si="7"/>
        <v>FINANCE</v>
      </c>
      <c r="G59" s="6" t="s">
        <v>240</v>
      </c>
      <c r="H59" s="8">
        <f t="shared" si="8"/>
        <v>44072</v>
      </c>
      <c r="I59" s="2" t="s">
        <v>241</v>
      </c>
      <c r="J59" s="3">
        <f t="shared" ca="1" si="9"/>
        <v>44511</v>
      </c>
      <c r="K59" s="2">
        <v>9781844002</v>
      </c>
      <c r="L59" s="2">
        <f t="shared" si="10"/>
        <v>9781844002</v>
      </c>
      <c r="M59" s="2" t="s">
        <v>51</v>
      </c>
      <c r="N59" s="2" t="str">
        <f t="shared" si="11"/>
        <v>kiran@company.com</v>
      </c>
      <c r="O59" s="12">
        <v>16362</v>
      </c>
      <c r="P59" s="2" t="str">
        <f t="shared" si="0"/>
        <v>Below 20K</v>
      </c>
      <c r="Q59" s="2"/>
      <c r="R59" s="2" t="s">
        <v>242</v>
      </c>
      <c r="S59" s="2" t="str">
        <f t="shared" si="1"/>
        <v>M17</v>
      </c>
      <c r="T59" s="2" t="s">
        <v>31</v>
      </c>
      <c r="U59" s="2" t="str">
        <f t="shared" si="12"/>
        <v>ON HOLD</v>
      </c>
      <c r="V59" s="2">
        <f t="shared" ca="1" si="2"/>
        <v>439</v>
      </c>
      <c r="W59" s="2">
        <f t="shared" ca="1" si="3"/>
        <v>14</v>
      </c>
      <c r="X59" s="2">
        <f t="shared" ca="1" si="4"/>
        <v>1</v>
      </c>
      <c r="Y59" s="2"/>
      <c r="Z59" s="2"/>
      <c r="AA59" s="2" t="str">
        <f t="shared" ca="1" si="13"/>
        <v>OK</v>
      </c>
    </row>
    <row r="60" spans="1:27" x14ac:dyDescent="0.3">
      <c r="A60" s="2" t="s">
        <v>243</v>
      </c>
      <c r="B60" s="2" t="str">
        <f t="shared" si="5"/>
        <v>EMP59</v>
      </c>
      <c r="C60" s="2" t="s">
        <v>47</v>
      </c>
      <c r="D60" s="2" t="str">
        <f t="shared" si="6"/>
        <v>Sunita</v>
      </c>
      <c r="E60" s="2" t="s">
        <v>57</v>
      </c>
      <c r="F60" s="2" t="str">
        <f t="shared" si="7"/>
        <v>HR</v>
      </c>
      <c r="G60" s="6" t="s">
        <v>244</v>
      </c>
      <c r="H60" s="8">
        <f t="shared" si="8"/>
        <v>44183</v>
      </c>
      <c r="I60" s="2" t="s">
        <v>245</v>
      </c>
      <c r="J60" s="3">
        <f t="shared" ca="1" si="9"/>
        <v>45181</v>
      </c>
      <c r="K60" s="2">
        <v>9362739145</v>
      </c>
      <c r="L60" s="2">
        <f t="shared" si="10"/>
        <v>9362739145</v>
      </c>
      <c r="M60" s="2" t="s">
        <v>84</v>
      </c>
      <c r="N60" s="2" t="str">
        <f t="shared" si="11"/>
        <v>ankit@company.com</v>
      </c>
      <c r="O60" s="12">
        <v>90196</v>
      </c>
      <c r="P60" s="2" t="str">
        <f t="shared" si="0"/>
        <v>Above 80K</v>
      </c>
      <c r="Q60" s="2"/>
      <c r="R60" s="2" t="s">
        <v>61</v>
      </c>
      <c r="S60" s="2" t="str">
        <f t="shared" si="1"/>
        <v>M13</v>
      </c>
      <c r="T60" s="2" t="s">
        <v>45</v>
      </c>
      <c r="U60" s="2" t="str">
        <f t="shared" si="12"/>
        <v>RESIGNED</v>
      </c>
      <c r="V60" s="2">
        <f t="shared" ca="1" si="2"/>
        <v>998</v>
      </c>
      <c r="W60" s="2">
        <f t="shared" ca="1" si="3"/>
        <v>32</v>
      </c>
      <c r="X60" s="2">
        <f t="shared" ca="1" si="4"/>
        <v>2</v>
      </c>
      <c r="Y60" s="2"/>
      <c r="Z60" s="2"/>
      <c r="AA60" s="2" t="str">
        <f t="shared" ca="1" si="13"/>
        <v>OK</v>
      </c>
    </row>
    <row r="61" spans="1:27" x14ac:dyDescent="0.3">
      <c r="A61" s="2" t="s">
        <v>246</v>
      </c>
      <c r="B61" s="2" t="str">
        <f t="shared" si="5"/>
        <v>EMP60</v>
      </c>
      <c r="C61" s="2" t="s">
        <v>81</v>
      </c>
      <c r="D61" s="2" t="str">
        <f t="shared" si="6"/>
        <v>Suresh</v>
      </c>
      <c r="E61" s="2" t="s">
        <v>129</v>
      </c>
      <c r="F61" s="2" t="str">
        <f t="shared" si="7"/>
        <v>SALES</v>
      </c>
      <c r="G61" s="6" t="s">
        <v>27</v>
      </c>
      <c r="H61" s="8">
        <f t="shared" si="8"/>
        <v>44890</v>
      </c>
      <c r="I61" s="2" t="s">
        <v>247</v>
      </c>
      <c r="J61" s="3">
        <f t="shared" ca="1" si="9"/>
        <v>45825</v>
      </c>
      <c r="K61" s="2">
        <v>9950092410</v>
      </c>
      <c r="L61" s="2">
        <f t="shared" si="10"/>
        <v>9950092410</v>
      </c>
      <c r="M61" s="2" t="s">
        <v>107</v>
      </c>
      <c r="N61" s="2" t="str">
        <f t="shared" si="11"/>
        <v>vikas@company.com</v>
      </c>
      <c r="O61" s="12">
        <v>92836</v>
      </c>
      <c r="P61" s="2" t="str">
        <f t="shared" si="0"/>
        <v>Above 80K</v>
      </c>
      <c r="Q61" s="2"/>
      <c r="R61" s="2" t="s">
        <v>108</v>
      </c>
      <c r="S61" s="2" t="str">
        <f t="shared" si="1"/>
        <v>M10</v>
      </c>
      <c r="T61" s="2" t="s">
        <v>149</v>
      </c>
      <c r="U61" s="2" t="str">
        <f t="shared" si="12"/>
        <v>ACTIVE</v>
      </c>
      <c r="V61" s="2">
        <f t="shared" ca="1" si="2"/>
        <v>935</v>
      </c>
      <c r="W61" s="2">
        <f t="shared" ca="1" si="3"/>
        <v>30</v>
      </c>
      <c r="X61" s="2">
        <f t="shared" ca="1" si="4"/>
        <v>2</v>
      </c>
      <c r="Y61" s="2"/>
      <c r="Z61" s="2"/>
      <c r="AA61" s="2" t="str">
        <f t="shared" ca="1" si="13"/>
        <v>OK</v>
      </c>
    </row>
    <row r="62" spans="1:27" x14ac:dyDescent="0.3">
      <c r="A62" s="2" t="s">
        <v>248</v>
      </c>
      <c r="B62" s="2" t="str">
        <f t="shared" si="5"/>
        <v>EMP61</v>
      </c>
      <c r="C62" s="2" t="s">
        <v>39</v>
      </c>
      <c r="D62" s="2" t="str">
        <f t="shared" si="6"/>
        <v>Amit</v>
      </c>
      <c r="E62" s="2" t="s">
        <v>12</v>
      </c>
      <c r="F62" s="2" t="str">
        <f t="shared" si="7"/>
        <v>IT</v>
      </c>
      <c r="G62" s="6" t="s">
        <v>249</v>
      </c>
      <c r="H62" s="8">
        <f t="shared" si="8"/>
        <v>43846</v>
      </c>
      <c r="I62" s="2" t="s">
        <v>184</v>
      </c>
      <c r="J62" s="3">
        <f t="shared" ca="1" si="9"/>
        <v>44694</v>
      </c>
      <c r="K62" s="2">
        <v>9320375248</v>
      </c>
      <c r="L62" s="2">
        <f t="shared" si="10"/>
        <v>9320375248</v>
      </c>
      <c r="M62" s="2" t="s">
        <v>51</v>
      </c>
      <c r="N62" s="2" t="str">
        <f t="shared" si="11"/>
        <v>kiran@company.com</v>
      </c>
      <c r="O62" s="12">
        <v>61481</v>
      </c>
      <c r="P62" s="2" t="str">
        <f t="shared" si="0"/>
        <v>60K-80K</v>
      </c>
      <c r="Q62" s="2"/>
      <c r="R62" s="2" t="s">
        <v>108</v>
      </c>
      <c r="S62" s="2" t="str">
        <f t="shared" si="1"/>
        <v>M10</v>
      </c>
      <c r="T62" s="2" t="s">
        <v>31</v>
      </c>
      <c r="U62" s="2" t="str">
        <f t="shared" si="12"/>
        <v>ON HOLD</v>
      </c>
      <c r="V62" s="2">
        <f t="shared" ca="1" si="2"/>
        <v>848</v>
      </c>
      <c r="W62" s="2">
        <f t="shared" ca="1" si="3"/>
        <v>27</v>
      </c>
      <c r="X62" s="2">
        <f t="shared" ca="1" si="4"/>
        <v>2</v>
      </c>
      <c r="Y62" s="2"/>
      <c r="Z62" s="2"/>
      <c r="AA62" s="2" t="str">
        <f t="shared" ca="1" si="13"/>
        <v>OK</v>
      </c>
    </row>
    <row r="63" spans="1:27" x14ac:dyDescent="0.3">
      <c r="A63" s="2" t="s">
        <v>250</v>
      </c>
      <c r="B63" s="2" t="str">
        <f t="shared" si="5"/>
        <v>EMP62</v>
      </c>
      <c r="C63" s="2" t="s">
        <v>81</v>
      </c>
      <c r="D63" s="2" t="str">
        <f t="shared" si="6"/>
        <v>Suresh</v>
      </c>
      <c r="E63" s="2" t="s">
        <v>33</v>
      </c>
      <c r="F63" s="2" t="str">
        <f t="shared" si="7"/>
        <v>IT</v>
      </c>
      <c r="G63" s="6" t="s">
        <v>251</v>
      </c>
      <c r="H63" s="8">
        <f t="shared" si="8"/>
        <v>44085</v>
      </c>
      <c r="I63" s="2" t="s">
        <v>252</v>
      </c>
      <c r="J63" s="3">
        <f t="shared" ca="1" si="9"/>
        <v>44827</v>
      </c>
      <c r="K63" s="2">
        <v>9968883700</v>
      </c>
      <c r="L63" s="2">
        <f t="shared" si="10"/>
        <v>9968883700</v>
      </c>
      <c r="M63" s="2" t="s">
        <v>107</v>
      </c>
      <c r="N63" s="2" t="str">
        <f t="shared" si="11"/>
        <v>vikas@company.com</v>
      </c>
      <c r="O63" s="12">
        <v>37606</v>
      </c>
      <c r="P63" s="2" t="str">
        <f t="shared" si="0"/>
        <v>20K-40K</v>
      </c>
      <c r="Q63" s="2"/>
      <c r="R63" s="2" t="s">
        <v>242</v>
      </c>
      <c r="S63" s="2" t="str">
        <f t="shared" si="1"/>
        <v>M17</v>
      </c>
      <c r="T63" s="2" t="s">
        <v>37</v>
      </c>
      <c r="U63" s="2" t="str">
        <f t="shared" si="12"/>
        <v>ACTIVE</v>
      </c>
      <c r="V63" s="2">
        <f t="shared" ca="1" si="2"/>
        <v>742</v>
      </c>
      <c r="W63" s="2">
        <f t="shared" ca="1" si="3"/>
        <v>24</v>
      </c>
      <c r="X63" s="2">
        <f t="shared" ca="1" si="4"/>
        <v>2</v>
      </c>
      <c r="Y63" s="2"/>
      <c r="Z63" s="2"/>
      <c r="AA63" s="2" t="str">
        <f t="shared" ca="1" si="13"/>
        <v>OK</v>
      </c>
    </row>
    <row r="64" spans="1:27" x14ac:dyDescent="0.3">
      <c r="A64" s="2" t="s">
        <v>253</v>
      </c>
      <c r="B64" s="2" t="str">
        <f t="shared" si="5"/>
        <v>EMP63</v>
      </c>
      <c r="C64" s="2" t="s">
        <v>25</v>
      </c>
      <c r="D64" s="2" t="str">
        <f t="shared" si="6"/>
        <v>Ankit</v>
      </c>
      <c r="E64" s="2" t="s">
        <v>48</v>
      </c>
      <c r="F64" s="2" t="str">
        <f t="shared" si="7"/>
        <v>FINANCE</v>
      </c>
      <c r="G64" s="6" t="s">
        <v>254</v>
      </c>
      <c r="H64" s="8">
        <f t="shared" si="8"/>
        <v>43502</v>
      </c>
      <c r="I64" s="2"/>
      <c r="J64" s="3">
        <f t="shared" ca="1" si="9"/>
        <v>46024</v>
      </c>
      <c r="K64" s="2">
        <v>9767684374</v>
      </c>
      <c r="L64" s="2">
        <f t="shared" si="10"/>
        <v>9767684374</v>
      </c>
      <c r="M64" s="2" t="s">
        <v>118</v>
      </c>
      <c r="N64" s="2" t="str">
        <f t="shared" si="11"/>
        <v>rahul@company.com</v>
      </c>
      <c r="O64" s="12">
        <v>54980</v>
      </c>
      <c r="P64" s="2" t="str">
        <f t="shared" si="0"/>
        <v>40K-60K</v>
      </c>
      <c r="Q64" s="2"/>
      <c r="R64" s="2" t="s">
        <v>255</v>
      </c>
      <c r="S64" s="2" t="str">
        <f t="shared" si="1"/>
        <v>M17</v>
      </c>
      <c r="T64" s="2" t="s">
        <v>37</v>
      </c>
      <c r="U64" s="2" t="str">
        <f t="shared" si="12"/>
        <v>ACTIVE</v>
      </c>
      <c r="V64" s="2">
        <f t="shared" ca="1" si="2"/>
        <v>2522</v>
      </c>
      <c r="W64" s="2">
        <f t="shared" ca="1" si="3"/>
        <v>82</v>
      </c>
      <c r="X64" s="2">
        <f t="shared" ca="1" si="4"/>
        <v>6</v>
      </c>
      <c r="Y64" s="2"/>
      <c r="Z64" s="2"/>
      <c r="AA64" s="2" t="str">
        <f t="shared" ca="1" si="13"/>
        <v>OK</v>
      </c>
    </row>
    <row r="65" spans="1:27" x14ac:dyDescent="0.3">
      <c r="A65" s="2" t="s">
        <v>256</v>
      </c>
      <c r="B65" s="2" t="str">
        <f t="shared" si="5"/>
        <v>EMP64</v>
      </c>
      <c r="C65" s="2" t="s">
        <v>81</v>
      </c>
      <c r="D65" s="2" t="str">
        <f t="shared" si="6"/>
        <v>Suresh</v>
      </c>
      <c r="E65" s="2" t="s">
        <v>26</v>
      </c>
      <c r="F65" s="2" t="str">
        <f t="shared" si="7"/>
        <v>HR</v>
      </c>
      <c r="G65" s="6" t="s">
        <v>257</v>
      </c>
      <c r="H65" s="8">
        <f t="shared" si="8"/>
        <v>43993</v>
      </c>
      <c r="I65" s="2" t="s">
        <v>258</v>
      </c>
      <c r="J65" s="3">
        <f t="shared" ca="1" si="9"/>
        <v>45260</v>
      </c>
      <c r="K65" s="2">
        <v>9511322748</v>
      </c>
      <c r="L65" s="2">
        <f t="shared" si="10"/>
        <v>9511322748</v>
      </c>
      <c r="M65" s="2" t="s">
        <v>259</v>
      </c>
      <c r="N65" s="2" t="str">
        <f t="shared" si="11"/>
        <v>ankit@gmail.com</v>
      </c>
      <c r="O65" s="12">
        <v>27548</v>
      </c>
      <c r="P65" s="2" t="str">
        <f t="shared" si="0"/>
        <v>20K-40K</v>
      </c>
      <c r="Q65" s="2"/>
      <c r="R65" s="2" t="s">
        <v>122</v>
      </c>
      <c r="S65" s="2" t="str">
        <f t="shared" si="1"/>
        <v>M5</v>
      </c>
      <c r="T65" s="2" t="s">
        <v>37</v>
      </c>
      <c r="U65" s="2" t="str">
        <f t="shared" si="12"/>
        <v>ACTIVE</v>
      </c>
      <c r="V65" s="2">
        <f t="shared" ca="1" si="2"/>
        <v>1267</v>
      </c>
      <c r="W65" s="2">
        <f t="shared" ca="1" si="3"/>
        <v>41</v>
      </c>
      <c r="X65" s="2">
        <f t="shared" ca="1" si="4"/>
        <v>3</v>
      </c>
      <c r="Y65" s="2"/>
      <c r="Z65" s="2"/>
      <c r="AA65" s="2" t="str">
        <f t="shared" ca="1" si="13"/>
        <v>OK</v>
      </c>
    </row>
    <row r="66" spans="1:27" x14ac:dyDescent="0.3">
      <c r="A66" s="2" t="s">
        <v>260</v>
      </c>
      <c r="B66" s="2" t="str">
        <f t="shared" si="5"/>
        <v>EMP65</v>
      </c>
      <c r="C66" s="2" t="s">
        <v>96</v>
      </c>
      <c r="D66" s="2" t="str">
        <f t="shared" si="6"/>
        <v>Neha</v>
      </c>
      <c r="E66" s="2" t="s">
        <v>129</v>
      </c>
      <c r="F66" s="2" t="str">
        <f t="shared" si="7"/>
        <v>SALES</v>
      </c>
      <c r="G66" s="6" t="s">
        <v>261</v>
      </c>
      <c r="H66" s="8">
        <f t="shared" si="8"/>
        <v>44264</v>
      </c>
      <c r="I66" s="2" t="s">
        <v>262</v>
      </c>
      <c r="J66" s="3">
        <f t="shared" ca="1" si="9"/>
        <v>44539</v>
      </c>
      <c r="K66" s="2">
        <v>9638972924</v>
      </c>
      <c r="L66" s="2">
        <f t="shared" si="10"/>
        <v>9638972924</v>
      </c>
      <c r="M66" s="2" t="s">
        <v>51</v>
      </c>
      <c r="N66" s="2" t="str">
        <f t="shared" si="11"/>
        <v>kiran@company.com</v>
      </c>
      <c r="O66" s="12">
        <v>89149</v>
      </c>
      <c r="P66" s="2" t="str">
        <f t="shared" ref="P66:P129" si="14">IF(O66&lt;20000,"Below 20K",
IF(O66&lt;=40000,"20K-40K",
IF(O66&lt;=60000,"40K-60K",
IF(O66&lt;=80000,"60K-80K",
"Above 80K"))))</f>
        <v>Above 80K</v>
      </c>
      <c r="Q66" s="2"/>
      <c r="R66" s="2" t="s">
        <v>127</v>
      </c>
      <c r="S66" s="2" t="str">
        <f t="shared" ref="S66:S129" si="15">TRIM(CLEAN(SUBSTITUTE(R66," ","")))</f>
        <v>M19</v>
      </c>
      <c r="T66" s="2" t="s">
        <v>17</v>
      </c>
      <c r="U66" s="2" t="str">
        <f t="shared" si="12"/>
        <v>RESIGNED</v>
      </c>
      <c r="V66" s="2">
        <f t="shared" ref="V66:V129" ca="1" si="16">DATEDIF(H66,J66,"D")</f>
        <v>275</v>
      </c>
      <c r="W66" s="2">
        <f t="shared" ref="W66:W129" ca="1" si="17">DATEDIF(H66,J66,"M")</f>
        <v>9</v>
      </c>
      <c r="X66" s="2">
        <f t="shared" ref="X66:X129" ca="1" si="18">DATEDIF(H66,J66,"Y")</f>
        <v>0</v>
      </c>
      <c r="Y66" s="2"/>
      <c r="Z66" s="2"/>
      <c r="AA66" s="2" t="str">
        <f t="shared" ca="1" si="13"/>
        <v>CHECK</v>
      </c>
    </row>
    <row r="67" spans="1:27" x14ac:dyDescent="0.3">
      <c r="A67" s="2" t="s">
        <v>263</v>
      </c>
      <c r="B67" s="2" t="str">
        <f t="shared" ref="B67:B130" si="19">TRIM(UPPER(A67))</f>
        <v>EMP66</v>
      </c>
      <c r="C67" s="2" t="s">
        <v>25</v>
      </c>
      <c r="D67" s="2" t="str">
        <f t="shared" ref="D67:D130" si="20">PROPER(TRIM(C67))</f>
        <v>Ankit</v>
      </c>
      <c r="E67" s="2" t="s">
        <v>40</v>
      </c>
      <c r="F67" s="2" t="str">
        <f t="shared" ref="F67:F130" si="21">TRIM(UPPER(E67))</f>
        <v>SALES</v>
      </c>
      <c r="G67" s="6" t="s">
        <v>264</v>
      </c>
      <c r="H67" s="8">
        <f t="shared" ref="H67:H130" si="22">DATEVALUE(G67)</f>
        <v>44994</v>
      </c>
      <c r="I67" s="2" t="s">
        <v>265</v>
      </c>
      <c r="J67" s="3">
        <f t="shared" ref="J67:J130" ca="1" si="23">IF(I67="",TODAY(),DATEVALUE(I67))</f>
        <v>45254</v>
      </c>
      <c r="K67" s="2">
        <v>9922755147</v>
      </c>
      <c r="L67" s="2">
        <f t="shared" ref="L67:L130" si="24">VALUE(K67)</f>
        <v>9922755147</v>
      </c>
      <c r="M67" s="2" t="s">
        <v>84</v>
      </c>
      <c r="N67" s="2" t="str">
        <f t="shared" ref="N67:N130" si="25">TRIM(LOWER(M67))</f>
        <v>ankit@company.com</v>
      </c>
      <c r="O67" s="12">
        <v>38305</v>
      </c>
      <c r="P67" s="2" t="str">
        <f t="shared" si="14"/>
        <v>20K-40K</v>
      </c>
      <c r="Q67" s="2"/>
      <c r="R67" s="2" t="s">
        <v>85</v>
      </c>
      <c r="S67" s="2" t="str">
        <f t="shared" si="15"/>
        <v>M24</v>
      </c>
      <c r="T67" s="2" t="s">
        <v>45</v>
      </c>
      <c r="U67" s="2" t="str">
        <f t="shared" ref="U67:U130" si="26">TRIM(UPPER(T67))</f>
        <v>RESIGNED</v>
      </c>
      <c r="V67" s="2">
        <f t="shared" ca="1" si="16"/>
        <v>260</v>
      </c>
      <c r="W67" s="2">
        <f t="shared" ca="1" si="17"/>
        <v>8</v>
      </c>
      <c r="X67" s="2">
        <f t="shared" ca="1" si="18"/>
        <v>0</v>
      </c>
      <c r="Y67" s="2"/>
      <c r="Z67" s="2"/>
      <c r="AA67" s="2" t="str">
        <f t="shared" ref="AA67:AA130" ca="1" si="27">IF(AND(O67&gt;80000,X67&lt;2),"CHECK","OK")</f>
        <v>OK</v>
      </c>
    </row>
    <row r="68" spans="1:27" x14ac:dyDescent="0.3">
      <c r="A68" s="2" t="s">
        <v>266</v>
      </c>
      <c r="B68" s="2" t="str">
        <f t="shared" si="19"/>
        <v>EMP67</v>
      </c>
      <c r="C68" s="2" t="s">
        <v>115</v>
      </c>
      <c r="D68" s="2" t="str">
        <f t="shared" si="20"/>
        <v>Rahul</v>
      </c>
      <c r="E68" s="2" t="s">
        <v>19</v>
      </c>
      <c r="F68" s="2" t="str">
        <f t="shared" si="21"/>
        <v>FINANCE</v>
      </c>
      <c r="G68" s="6" t="s">
        <v>267</v>
      </c>
      <c r="H68" s="8">
        <f t="shared" si="22"/>
        <v>43829</v>
      </c>
      <c r="I68" s="2" t="s">
        <v>268</v>
      </c>
      <c r="J68" s="3">
        <f t="shared" ca="1" si="23"/>
        <v>44265</v>
      </c>
      <c r="K68" s="2">
        <v>9966436606</v>
      </c>
      <c r="L68" s="2">
        <f t="shared" si="24"/>
        <v>9966436606</v>
      </c>
      <c r="M68" s="2" t="s">
        <v>107</v>
      </c>
      <c r="N68" s="2" t="str">
        <f t="shared" si="25"/>
        <v>vikas@company.com</v>
      </c>
      <c r="O68" s="12">
        <v>63103</v>
      </c>
      <c r="P68" s="2" t="str">
        <f t="shared" si="14"/>
        <v>60K-80K</v>
      </c>
      <c r="Q68" s="2"/>
      <c r="R68" s="2" t="s">
        <v>44</v>
      </c>
      <c r="S68" s="2" t="str">
        <f t="shared" si="15"/>
        <v>M9</v>
      </c>
      <c r="T68" s="2" t="s">
        <v>149</v>
      </c>
      <c r="U68" s="2" t="str">
        <f t="shared" si="26"/>
        <v>ACTIVE</v>
      </c>
      <c r="V68" s="2">
        <f t="shared" ca="1" si="16"/>
        <v>436</v>
      </c>
      <c r="W68" s="2">
        <f t="shared" ca="1" si="17"/>
        <v>14</v>
      </c>
      <c r="X68" s="2">
        <f t="shared" ca="1" si="18"/>
        <v>1</v>
      </c>
      <c r="Y68" s="2"/>
      <c r="Z68" s="2"/>
      <c r="AA68" s="2" t="str">
        <f t="shared" ca="1" si="27"/>
        <v>OK</v>
      </c>
    </row>
    <row r="69" spans="1:27" x14ac:dyDescent="0.3">
      <c r="A69" s="2" t="s">
        <v>269</v>
      </c>
      <c r="B69" s="2" t="str">
        <f t="shared" si="19"/>
        <v>EMP68</v>
      </c>
      <c r="C69" s="2" t="s">
        <v>161</v>
      </c>
      <c r="D69" s="2" t="str">
        <f t="shared" si="20"/>
        <v>Kiran</v>
      </c>
      <c r="E69" s="2" t="s">
        <v>129</v>
      </c>
      <c r="F69" s="2" t="str">
        <f t="shared" si="21"/>
        <v>SALES</v>
      </c>
      <c r="G69" s="6" t="s">
        <v>270</v>
      </c>
      <c r="H69" s="8">
        <f t="shared" si="22"/>
        <v>43614</v>
      </c>
      <c r="I69" s="2" t="s">
        <v>271</v>
      </c>
      <c r="J69" s="3">
        <f t="shared" ca="1" si="23"/>
        <v>43906</v>
      </c>
      <c r="K69" s="2">
        <v>9366768887</v>
      </c>
      <c r="L69" s="2">
        <f t="shared" si="24"/>
        <v>9366768887</v>
      </c>
      <c r="M69" s="2" t="s">
        <v>118</v>
      </c>
      <c r="N69" s="2" t="str">
        <f t="shared" si="25"/>
        <v>rahul@company.com</v>
      </c>
      <c r="O69" s="12">
        <v>57042</v>
      </c>
      <c r="P69" s="2" t="str">
        <f t="shared" si="14"/>
        <v>40K-60K</v>
      </c>
      <c r="Q69" s="2"/>
      <c r="R69" s="2" t="s">
        <v>108</v>
      </c>
      <c r="S69" s="2" t="str">
        <f t="shared" si="15"/>
        <v>M10</v>
      </c>
      <c r="T69" s="2" t="s">
        <v>45</v>
      </c>
      <c r="U69" s="2" t="str">
        <f t="shared" si="26"/>
        <v>RESIGNED</v>
      </c>
      <c r="V69" s="2">
        <f t="shared" ca="1" si="16"/>
        <v>292</v>
      </c>
      <c r="W69" s="2">
        <f t="shared" ca="1" si="17"/>
        <v>9</v>
      </c>
      <c r="X69" s="2">
        <f t="shared" ca="1" si="18"/>
        <v>0</v>
      </c>
      <c r="Y69" s="2"/>
      <c r="Z69" s="2"/>
      <c r="AA69" s="2" t="str">
        <f t="shared" ca="1" si="27"/>
        <v>OK</v>
      </c>
    </row>
    <row r="70" spans="1:27" x14ac:dyDescent="0.3">
      <c r="A70" s="2" t="s">
        <v>272</v>
      </c>
      <c r="B70" s="2" t="str">
        <f t="shared" si="19"/>
        <v>EMP69</v>
      </c>
      <c r="C70" s="2" t="s">
        <v>115</v>
      </c>
      <c r="D70" s="2" t="str">
        <f t="shared" si="20"/>
        <v>Rahul</v>
      </c>
      <c r="E70" s="2" t="s">
        <v>33</v>
      </c>
      <c r="F70" s="2" t="str">
        <f t="shared" si="21"/>
        <v>IT</v>
      </c>
      <c r="G70" s="6" t="s">
        <v>273</v>
      </c>
      <c r="H70" s="8">
        <f t="shared" si="22"/>
        <v>43778</v>
      </c>
      <c r="I70" s="2" t="s">
        <v>274</v>
      </c>
      <c r="J70" s="3">
        <f t="shared" ca="1" si="23"/>
        <v>44061</v>
      </c>
      <c r="K70" s="2">
        <v>9368193561</v>
      </c>
      <c r="L70" s="2">
        <f t="shared" si="24"/>
        <v>9368193561</v>
      </c>
      <c r="M70" s="2" t="s">
        <v>15</v>
      </c>
      <c r="N70" s="2" t="str">
        <f t="shared" si="25"/>
        <v>amit@company.com</v>
      </c>
      <c r="O70" s="12">
        <v>38784</v>
      </c>
      <c r="P70" s="2" t="str">
        <f t="shared" si="14"/>
        <v>20K-40K</v>
      </c>
      <c r="Q70" s="2"/>
      <c r="R70" s="2" t="s">
        <v>122</v>
      </c>
      <c r="S70" s="2" t="str">
        <f t="shared" si="15"/>
        <v>M5</v>
      </c>
      <c r="T70" s="2" t="s">
        <v>37</v>
      </c>
      <c r="U70" s="2" t="str">
        <f t="shared" si="26"/>
        <v>ACTIVE</v>
      </c>
      <c r="V70" s="2">
        <f t="shared" ca="1" si="16"/>
        <v>283</v>
      </c>
      <c r="W70" s="2">
        <f t="shared" ca="1" si="17"/>
        <v>9</v>
      </c>
      <c r="X70" s="2">
        <f t="shared" ca="1" si="18"/>
        <v>0</v>
      </c>
      <c r="Y70" s="2"/>
      <c r="Z70" s="2"/>
      <c r="AA70" s="2" t="str">
        <f t="shared" ca="1" si="27"/>
        <v>OK</v>
      </c>
    </row>
    <row r="71" spans="1:27" x14ac:dyDescent="0.3">
      <c r="A71" s="2" t="s">
        <v>275</v>
      </c>
      <c r="B71" s="2" t="str">
        <f t="shared" si="19"/>
        <v>EMP70</v>
      </c>
      <c r="C71" s="2" t="s">
        <v>104</v>
      </c>
      <c r="D71" s="2" t="str">
        <f t="shared" si="20"/>
        <v>Vikas</v>
      </c>
      <c r="E71" s="2" t="s">
        <v>57</v>
      </c>
      <c r="F71" s="2" t="str">
        <f t="shared" si="21"/>
        <v>HR</v>
      </c>
      <c r="G71" s="6" t="s">
        <v>276</v>
      </c>
      <c r="H71" s="8">
        <f t="shared" si="22"/>
        <v>43688</v>
      </c>
      <c r="I71" s="2"/>
      <c r="J71" s="3">
        <f t="shared" ca="1" si="23"/>
        <v>46024</v>
      </c>
      <c r="K71" s="2">
        <v>9408037253</v>
      </c>
      <c r="L71" s="2">
        <f t="shared" si="24"/>
        <v>9408037253</v>
      </c>
      <c r="M71" s="2" t="s">
        <v>107</v>
      </c>
      <c r="N71" s="2" t="str">
        <f t="shared" si="25"/>
        <v>vikas@company.com</v>
      </c>
      <c r="O71" s="12">
        <v>77477</v>
      </c>
      <c r="P71" s="2" t="str">
        <f t="shared" si="14"/>
        <v>60K-80K</v>
      </c>
      <c r="Q71" s="2"/>
      <c r="R71" s="2" t="s">
        <v>30</v>
      </c>
      <c r="S71" s="2" t="str">
        <f t="shared" si="15"/>
        <v>M3</v>
      </c>
      <c r="T71" s="2" t="s">
        <v>31</v>
      </c>
      <c r="U71" s="2" t="str">
        <f t="shared" si="26"/>
        <v>ON HOLD</v>
      </c>
      <c r="V71" s="2">
        <f t="shared" ca="1" si="16"/>
        <v>2336</v>
      </c>
      <c r="W71" s="2">
        <f t="shared" ca="1" si="17"/>
        <v>76</v>
      </c>
      <c r="X71" s="2">
        <f t="shared" ca="1" si="18"/>
        <v>6</v>
      </c>
      <c r="Y71" s="2"/>
      <c r="Z71" s="2"/>
      <c r="AA71" s="2" t="str">
        <f t="shared" ca="1" si="27"/>
        <v>OK</v>
      </c>
    </row>
    <row r="72" spans="1:27" x14ac:dyDescent="0.3">
      <c r="A72" s="2" t="s">
        <v>277</v>
      </c>
      <c r="B72" s="2" t="str">
        <f t="shared" si="19"/>
        <v>EMP71</v>
      </c>
      <c r="C72" s="2" t="s">
        <v>115</v>
      </c>
      <c r="D72" s="2" t="str">
        <f t="shared" si="20"/>
        <v>Rahul</v>
      </c>
      <c r="E72" s="2" t="s">
        <v>12</v>
      </c>
      <c r="F72" s="2" t="str">
        <f t="shared" si="21"/>
        <v>IT</v>
      </c>
      <c r="G72" s="6" t="s">
        <v>278</v>
      </c>
      <c r="H72" s="8">
        <f t="shared" si="22"/>
        <v>43975</v>
      </c>
      <c r="I72" s="2" t="s">
        <v>279</v>
      </c>
      <c r="J72" s="3">
        <f t="shared" ca="1" si="23"/>
        <v>44510</v>
      </c>
      <c r="K72" s="2">
        <v>9484698271</v>
      </c>
      <c r="L72" s="2">
        <f t="shared" si="24"/>
        <v>9484698271</v>
      </c>
      <c r="M72" s="2" t="s">
        <v>15</v>
      </c>
      <c r="N72" s="2" t="str">
        <f t="shared" si="25"/>
        <v>amit@company.com</v>
      </c>
      <c r="O72" s="12">
        <v>23228</v>
      </c>
      <c r="P72" s="2" t="str">
        <f t="shared" si="14"/>
        <v>20K-40K</v>
      </c>
      <c r="Q72" s="2"/>
      <c r="R72" s="2" t="s">
        <v>135</v>
      </c>
      <c r="S72" s="2" t="str">
        <f t="shared" si="15"/>
        <v>M15</v>
      </c>
      <c r="T72" s="2" t="s">
        <v>31</v>
      </c>
      <c r="U72" s="2" t="str">
        <f t="shared" si="26"/>
        <v>ON HOLD</v>
      </c>
      <c r="V72" s="2">
        <f t="shared" ca="1" si="16"/>
        <v>535</v>
      </c>
      <c r="W72" s="2">
        <f t="shared" ca="1" si="17"/>
        <v>17</v>
      </c>
      <c r="X72" s="2">
        <f t="shared" ca="1" si="18"/>
        <v>1</v>
      </c>
      <c r="Y72" s="2"/>
      <c r="Z72" s="2"/>
      <c r="AA72" s="2" t="str">
        <f t="shared" ca="1" si="27"/>
        <v>OK</v>
      </c>
    </row>
    <row r="73" spans="1:27" x14ac:dyDescent="0.3">
      <c r="A73" s="2" t="s">
        <v>280</v>
      </c>
      <c r="B73" s="2" t="str">
        <f t="shared" si="19"/>
        <v>EMP72</v>
      </c>
      <c r="C73" s="2" t="s">
        <v>96</v>
      </c>
      <c r="D73" s="2" t="str">
        <f t="shared" si="20"/>
        <v>Neha</v>
      </c>
      <c r="E73" s="2" t="s">
        <v>19</v>
      </c>
      <c r="F73" s="2" t="str">
        <f t="shared" si="21"/>
        <v>FINANCE</v>
      </c>
      <c r="G73" s="6" t="s">
        <v>281</v>
      </c>
      <c r="H73" s="8">
        <f t="shared" si="22"/>
        <v>44235</v>
      </c>
      <c r="I73" s="2" t="s">
        <v>282</v>
      </c>
      <c r="J73" s="3">
        <f t="shared" ca="1" si="23"/>
        <v>44878</v>
      </c>
      <c r="K73" s="2">
        <v>9754833914</v>
      </c>
      <c r="L73" s="2">
        <f t="shared" si="24"/>
        <v>9754833914</v>
      </c>
      <c r="M73" s="2" t="s">
        <v>283</v>
      </c>
      <c r="N73" s="2" t="str">
        <f t="shared" si="25"/>
        <v>ravi@gmail.com</v>
      </c>
      <c r="O73" s="12">
        <v>35433</v>
      </c>
      <c r="P73" s="2" t="str">
        <f t="shared" si="14"/>
        <v>20K-40K</v>
      </c>
      <c r="Q73" s="2"/>
      <c r="R73" s="2" t="s">
        <v>284</v>
      </c>
      <c r="S73" s="2" t="str">
        <f t="shared" si="15"/>
        <v>M9</v>
      </c>
      <c r="T73" s="2" t="s">
        <v>31</v>
      </c>
      <c r="U73" s="2" t="str">
        <f t="shared" si="26"/>
        <v>ON HOLD</v>
      </c>
      <c r="V73" s="2">
        <f t="shared" ca="1" si="16"/>
        <v>643</v>
      </c>
      <c r="W73" s="2">
        <f t="shared" ca="1" si="17"/>
        <v>21</v>
      </c>
      <c r="X73" s="2">
        <f t="shared" ca="1" si="18"/>
        <v>1</v>
      </c>
      <c r="Y73" s="2"/>
      <c r="Z73" s="2"/>
      <c r="AA73" s="2" t="str">
        <f t="shared" ca="1" si="27"/>
        <v>OK</v>
      </c>
    </row>
    <row r="74" spans="1:27" x14ac:dyDescent="0.3">
      <c r="A74" s="2" t="s">
        <v>285</v>
      </c>
      <c r="B74" s="2" t="str">
        <f t="shared" si="19"/>
        <v>EMP73</v>
      </c>
      <c r="C74" s="2" t="s">
        <v>115</v>
      </c>
      <c r="D74" s="2" t="str">
        <f t="shared" si="20"/>
        <v>Rahul</v>
      </c>
      <c r="E74" s="2" t="s">
        <v>48</v>
      </c>
      <c r="F74" s="2" t="str">
        <f t="shared" si="21"/>
        <v>FINANCE</v>
      </c>
      <c r="G74" s="6" t="s">
        <v>286</v>
      </c>
      <c r="H74" s="8">
        <f t="shared" si="22"/>
        <v>44724</v>
      </c>
      <c r="I74" s="2" t="s">
        <v>287</v>
      </c>
      <c r="J74" s="3">
        <f t="shared" ca="1" si="23"/>
        <v>46013</v>
      </c>
      <c r="K74" s="2">
        <v>9293334445</v>
      </c>
      <c r="L74" s="2">
        <f t="shared" si="24"/>
        <v>9293334445</v>
      </c>
      <c r="M74" s="2" t="s">
        <v>22</v>
      </c>
      <c r="N74" s="2" t="str">
        <f t="shared" si="25"/>
        <v>pooja@company.com</v>
      </c>
      <c r="O74" s="12">
        <v>64573</v>
      </c>
      <c r="P74" s="2" t="str">
        <f t="shared" si="14"/>
        <v>60K-80K</v>
      </c>
      <c r="Q74" s="2"/>
      <c r="R74" s="2" t="s">
        <v>166</v>
      </c>
      <c r="S74" s="2" t="str">
        <f t="shared" si="15"/>
        <v>M7</v>
      </c>
      <c r="T74" s="2" t="s">
        <v>31</v>
      </c>
      <c r="U74" s="2" t="str">
        <f t="shared" si="26"/>
        <v>ON HOLD</v>
      </c>
      <c r="V74" s="2">
        <f t="shared" ca="1" si="16"/>
        <v>1289</v>
      </c>
      <c r="W74" s="2">
        <f t="shared" ca="1" si="17"/>
        <v>42</v>
      </c>
      <c r="X74" s="2">
        <f t="shared" ca="1" si="18"/>
        <v>3</v>
      </c>
      <c r="Y74" s="2"/>
      <c r="Z74" s="2"/>
      <c r="AA74" s="2" t="str">
        <f t="shared" ca="1" si="27"/>
        <v>OK</v>
      </c>
    </row>
    <row r="75" spans="1:27" x14ac:dyDescent="0.3">
      <c r="A75" s="2" t="s">
        <v>288</v>
      </c>
      <c r="B75" s="2" t="str">
        <f t="shared" si="19"/>
        <v>EMP74</v>
      </c>
      <c r="C75" s="2" t="s">
        <v>81</v>
      </c>
      <c r="D75" s="2" t="str">
        <f t="shared" si="20"/>
        <v>Suresh</v>
      </c>
      <c r="E75" s="2" t="s">
        <v>48</v>
      </c>
      <c r="F75" s="2" t="str">
        <f t="shared" si="21"/>
        <v>FINANCE</v>
      </c>
      <c r="G75" s="6" t="s">
        <v>289</v>
      </c>
      <c r="H75" s="8">
        <f t="shared" si="22"/>
        <v>44636</v>
      </c>
      <c r="I75" s="2" t="s">
        <v>290</v>
      </c>
      <c r="J75" s="3">
        <f t="shared" ca="1" si="23"/>
        <v>44840</v>
      </c>
      <c r="K75" s="2">
        <v>9862042848</v>
      </c>
      <c r="L75" s="2">
        <f t="shared" si="24"/>
        <v>9862042848</v>
      </c>
      <c r="M75" s="2" t="s">
        <v>36</v>
      </c>
      <c r="N75" s="2" t="str">
        <f t="shared" si="25"/>
        <v>neha@company.com</v>
      </c>
      <c r="O75" s="12">
        <v>72994</v>
      </c>
      <c r="P75" s="2" t="str">
        <f t="shared" si="14"/>
        <v>60K-80K</v>
      </c>
      <c r="Q75" s="2"/>
      <c r="R75" s="2" t="s">
        <v>142</v>
      </c>
      <c r="S75" s="2" t="str">
        <f t="shared" si="15"/>
        <v>M23</v>
      </c>
      <c r="T75" s="2" t="s">
        <v>31</v>
      </c>
      <c r="U75" s="2" t="str">
        <f t="shared" si="26"/>
        <v>ON HOLD</v>
      </c>
      <c r="V75" s="2">
        <f t="shared" ca="1" si="16"/>
        <v>204</v>
      </c>
      <c r="W75" s="2">
        <f t="shared" ca="1" si="17"/>
        <v>6</v>
      </c>
      <c r="X75" s="2">
        <f t="shared" ca="1" si="18"/>
        <v>0</v>
      </c>
      <c r="Y75" s="2"/>
      <c r="Z75" s="2"/>
      <c r="AA75" s="2" t="str">
        <f t="shared" ca="1" si="27"/>
        <v>OK</v>
      </c>
    </row>
    <row r="76" spans="1:27" x14ac:dyDescent="0.3">
      <c r="A76" s="2" t="s">
        <v>291</v>
      </c>
      <c r="B76" s="2" t="str">
        <f t="shared" si="19"/>
        <v>EMP75</v>
      </c>
      <c r="C76" s="2" t="s">
        <v>39</v>
      </c>
      <c r="D76" s="2" t="str">
        <f t="shared" si="20"/>
        <v>Amit</v>
      </c>
      <c r="E76" s="2" t="s">
        <v>48</v>
      </c>
      <c r="F76" s="2" t="str">
        <f t="shared" si="21"/>
        <v>FINANCE</v>
      </c>
      <c r="G76" s="6" t="s">
        <v>292</v>
      </c>
      <c r="H76" s="8">
        <f t="shared" si="22"/>
        <v>43709</v>
      </c>
      <c r="I76" s="2" t="s">
        <v>293</v>
      </c>
      <c r="J76" s="3">
        <f t="shared" ca="1" si="23"/>
        <v>44954</v>
      </c>
      <c r="K76" s="2">
        <v>9454509940</v>
      </c>
      <c r="L76" s="2">
        <f t="shared" si="24"/>
        <v>9454509940</v>
      </c>
      <c r="M76" s="2" t="s">
        <v>22</v>
      </c>
      <c r="N76" s="2" t="str">
        <f t="shared" si="25"/>
        <v>pooja@company.com</v>
      </c>
      <c r="O76" s="12">
        <v>19989</v>
      </c>
      <c r="P76" s="2" t="str">
        <f t="shared" si="14"/>
        <v>Below 20K</v>
      </c>
      <c r="Q76" s="2"/>
      <c r="R76" s="2" t="s">
        <v>16</v>
      </c>
      <c r="S76" s="2" t="str">
        <f t="shared" si="15"/>
        <v>M4</v>
      </c>
      <c r="T76" s="2" t="s">
        <v>31</v>
      </c>
      <c r="U76" s="2" t="str">
        <f t="shared" si="26"/>
        <v>ON HOLD</v>
      </c>
      <c r="V76" s="2">
        <f t="shared" ca="1" si="16"/>
        <v>1245</v>
      </c>
      <c r="W76" s="2">
        <f t="shared" ca="1" si="17"/>
        <v>40</v>
      </c>
      <c r="X76" s="2">
        <f t="shared" ca="1" si="18"/>
        <v>3</v>
      </c>
      <c r="Y76" s="2"/>
      <c r="Z76" s="2"/>
      <c r="AA76" s="2" t="str">
        <f t="shared" ca="1" si="27"/>
        <v>OK</v>
      </c>
    </row>
    <row r="77" spans="1:27" x14ac:dyDescent="0.3">
      <c r="A77" s="2" t="s">
        <v>294</v>
      </c>
      <c r="B77" s="2" t="str">
        <f t="shared" si="19"/>
        <v>EMP76</v>
      </c>
      <c r="C77" s="2" t="s">
        <v>115</v>
      </c>
      <c r="D77" s="2" t="str">
        <f t="shared" si="20"/>
        <v>Rahul</v>
      </c>
      <c r="E77" s="2" t="s">
        <v>19</v>
      </c>
      <c r="F77" s="2" t="str">
        <f t="shared" si="21"/>
        <v>FINANCE</v>
      </c>
      <c r="G77" s="6" t="s">
        <v>295</v>
      </c>
      <c r="H77" s="8">
        <f t="shared" si="22"/>
        <v>45065</v>
      </c>
      <c r="I77" s="2" t="s">
        <v>296</v>
      </c>
      <c r="J77" s="3">
        <f t="shared" ca="1" si="23"/>
        <v>46432</v>
      </c>
      <c r="K77" s="2">
        <v>9766738410</v>
      </c>
      <c r="L77" s="2">
        <f t="shared" si="24"/>
        <v>9766738410</v>
      </c>
      <c r="M77" s="2" t="s">
        <v>107</v>
      </c>
      <c r="N77" s="2" t="str">
        <f t="shared" si="25"/>
        <v>vikas@company.com</v>
      </c>
      <c r="O77" s="12">
        <v>59260</v>
      </c>
      <c r="P77" s="2" t="str">
        <f t="shared" si="14"/>
        <v>40K-60K</v>
      </c>
      <c r="Q77" s="2"/>
      <c r="R77" s="2" t="s">
        <v>71</v>
      </c>
      <c r="S77" s="2" t="str">
        <f t="shared" si="15"/>
        <v>M14</v>
      </c>
      <c r="T77" s="2" t="s">
        <v>31</v>
      </c>
      <c r="U77" s="2" t="str">
        <f t="shared" si="26"/>
        <v>ON HOLD</v>
      </c>
      <c r="V77" s="2">
        <f t="shared" ca="1" si="16"/>
        <v>1367</v>
      </c>
      <c r="W77" s="2">
        <f t="shared" ca="1" si="17"/>
        <v>44</v>
      </c>
      <c r="X77" s="2">
        <f t="shared" ca="1" si="18"/>
        <v>3</v>
      </c>
      <c r="Y77" s="2"/>
      <c r="Z77" s="2"/>
      <c r="AA77" s="2" t="str">
        <f t="shared" ca="1" si="27"/>
        <v>OK</v>
      </c>
    </row>
    <row r="78" spans="1:27" x14ac:dyDescent="0.3">
      <c r="A78" s="2" t="s">
        <v>297</v>
      </c>
      <c r="B78" s="2" t="str">
        <f t="shared" si="19"/>
        <v>EMP77</v>
      </c>
      <c r="C78" s="2" t="s">
        <v>47</v>
      </c>
      <c r="D78" s="2" t="str">
        <f t="shared" si="20"/>
        <v>Sunita</v>
      </c>
      <c r="E78" s="2" t="s">
        <v>48</v>
      </c>
      <c r="F78" s="2" t="str">
        <f t="shared" si="21"/>
        <v>FINANCE</v>
      </c>
      <c r="G78" s="6" t="s">
        <v>298</v>
      </c>
      <c r="H78" s="8">
        <f t="shared" si="22"/>
        <v>43952</v>
      </c>
      <c r="I78" s="2"/>
      <c r="J78" s="3">
        <f t="shared" ca="1" si="23"/>
        <v>46024</v>
      </c>
      <c r="K78" s="2">
        <v>9561559536</v>
      </c>
      <c r="L78" s="2">
        <f t="shared" si="24"/>
        <v>9561559536</v>
      </c>
      <c r="M78" s="2" t="s">
        <v>29</v>
      </c>
      <c r="N78" s="2" t="str">
        <f t="shared" si="25"/>
        <v>suresh@company.com</v>
      </c>
      <c r="O78" s="12">
        <v>64403</v>
      </c>
      <c r="P78" s="2" t="str">
        <f t="shared" si="14"/>
        <v>60K-80K</v>
      </c>
      <c r="Q78" s="2"/>
      <c r="R78" s="2" t="s">
        <v>61</v>
      </c>
      <c r="S78" s="2" t="str">
        <f t="shared" si="15"/>
        <v>M13</v>
      </c>
      <c r="T78" s="2" t="s">
        <v>17</v>
      </c>
      <c r="U78" s="2" t="str">
        <f t="shared" si="26"/>
        <v>RESIGNED</v>
      </c>
      <c r="V78" s="2">
        <f t="shared" ca="1" si="16"/>
        <v>2072</v>
      </c>
      <c r="W78" s="2">
        <f t="shared" ca="1" si="17"/>
        <v>68</v>
      </c>
      <c r="X78" s="2">
        <f t="shared" ca="1" si="18"/>
        <v>5</v>
      </c>
      <c r="Y78" s="2"/>
      <c r="Z78" s="2"/>
      <c r="AA78" s="2" t="str">
        <f t="shared" ca="1" si="27"/>
        <v>OK</v>
      </c>
    </row>
    <row r="79" spans="1:27" x14ac:dyDescent="0.3">
      <c r="A79" s="2" t="s">
        <v>299</v>
      </c>
      <c r="B79" s="2" t="str">
        <f t="shared" si="19"/>
        <v>EMP78</v>
      </c>
      <c r="C79" s="2" t="s">
        <v>63</v>
      </c>
      <c r="D79" s="2" t="str">
        <f t="shared" si="20"/>
        <v>Pooja</v>
      </c>
      <c r="E79" s="2" t="s">
        <v>40</v>
      </c>
      <c r="F79" s="2" t="str">
        <f t="shared" si="21"/>
        <v>SALES</v>
      </c>
      <c r="G79" s="6" t="s">
        <v>300</v>
      </c>
      <c r="H79" s="8">
        <f t="shared" si="22"/>
        <v>44836</v>
      </c>
      <c r="I79" s="2" t="s">
        <v>301</v>
      </c>
      <c r="J79" s="3">
        <f t="shared" ca="1" si="23"/>
        <v>46008</v>
      </c>
      <c r="K79" s="2">
        <v>9806937171</v>
      </c>
      <c r="L79" s="2">
        <f t="shared" si="24"/>
        <v>9806937171</v>
      </c>
      <c r="M79" s="2" t="s">
        <v>51</v>
      </c>
      <c r="N79" s="2" t="str">
        <f t="shared" si="25"/>
        <v>kiran@company.com</v>
      </c>
      <c r="O79" s="12">
        <v>72733</v>
      </c>
      <c r="P79" s="2" t="str">
        <f t="shared" si="14"/>
        <v>60K-80K</v>
      </c>
      <c r="Q79" s="2"/>
      <c r="R79" s="2" t="s">
        <v>75</v>
      </c>
      <c r="S79" s="2" t="str">
        <f t="shared" si="15"/>
        <v>M12</v>
      </c>
      <c r="T79" s="2" t="s">
        <v>17</v>
      </c>
      <c r="U79" s="2" t="str">
        <f t="shared" si="26"/>
        <v>RESIGNED</v>
      </c>
      <c r="V79" s="2">
        <f t="shared" ca="1" si="16"/>
        <v>1172</v>
      </c>
      <c r="W79" s="2">
        <f t="shared" ca="1" si="17"/>
        <v>38</v>
      </c>
      <c r="X79" s="2">
        <f t="shared" ca="1" si="18"/>
        <v>3</v>
      </c>
      <c r="Y79" s="2"/>
      <c r="Z79" s="2"/>
      <c r="AA79" s="2" t="str">
        <f t="shared" ca="1" si="27"/>
        <v>OK</v>
      </c>
    </row>
    <row r="80" spans="1:27" x14ac:dyDescent="0.3">
      <c r="A80" s="2" t="s">
        <v>302</v>
      </c>
      <c r="B80" s="2" t="str">
        <f t="shared" si="19"/>
        <v>EMP79</v>
      </c>
      <c r="C80" s="2" t="s">
        <v>104</v>
      </c>
      <c r="D80" s="2" t="str">
        <f t="shared" si="20"/>
        <v>Vikas</v>
      </c>
      <c r="E80" s="2" t="s">
        <v>129</v>
      </c>
      <c r="F80" s="2" t="str">
        <f t="shared" si="21"/>
        <v>SALES</v>
      </c>
      <c r="G80" s="6" t="s">
        <v>303</v>
      </c>
      <c r="H80" s="8">
        <f t="shared" si="22"/>
        <v>43918</v>
      </c>
      <c r="I80" s="2" t="s">
        <v>304</v>
      </c>
      <c r="J80" s="3">
        <f t="shared" ca="1" si="23"/>
        <v>45074</v>
      </c>
      <c r="K80" s="2">
        <v>9270457353</v>
      </c>
      <c r="L80" s="2">
        <f t="shared" si="24"/>
        <v>9270457353</v>
      </c>
      <c r="M80" s="2" t="s">
        <v>70</v>
      </c>
      <c r="N80" s="2" t="str">
        <f t="shared" si="25"/>
        <v>sunita@company.com</v>
      </c>
      <c r="O80" s="12">
        <v>29983</v>
      </c>
      <c r="P80" s="2" t="str">
        <f t="shared" si="14"/>
        <v>20K-40K</v>
      </c>
      <c r="Q80" s="2"/>
      <c r="R80" s="2" t="s">
        <v>242</v>
      </c>
      <c r="S80" s="2" t="str">
        <f t="shared" si="15"/>
        <v>M17</v>
      </c>
      <c r="T80" s="2" t="s">
        <v>45</v>
      </c>
      <c r="U80" s="2" t="str">
        <f t="shared" si="26"/>
        <v>RESIGNED</v>
      </c>
      <c r="V80" s="2">
        <f t="shared" ca="1" si="16"/>
        <v>1156</v>
      </c>
      <c r="W80" s="2">
        <f t="shared" ca="1" si="17"/>
        <v>38</v>
      </c>
      <c r="X80" s="2">
        <f t="shared" ca="1" si="18"/>
        <v>3</v>
      </c>
      <c r="Y80" s="2"/>
      <c r="Z80" s="2"/>
      <c r="AA80" s="2" t="str">
        <f t="shared" ca="1" si="27"/>
        <v>OK</v>
      </c>
    </row>
    <row r="81" spans="1:27" x14ac:dyDescent="0.3">
      <c r="A81" s="2" t="s">
        <v>305</v>
      </c>
      <c r="B81" s="2" t="str">
        <f t="shared" si="19"/>
        <v>EMP80</v>
      </c>
      <c r="C81" s="2" t="s">
        <v>104</v>
      </c>
      <c r="D81" s="2" t="str">
        <f t="shared" si="20"/>
        <v>Vikas</v>
      </c>
      <c r="E81" s="2" t="s">
        <v>12</v>
      </c>
      <c r="F81" s="2" t="str">
        <f t="shared" si="21"/>
        <v>IT</v>
      </c>
      <c r="G81" s="6" t="s">
        <v>306</v>
      </c>
      <c r="H81" s="8">
        <f t="shared" si="22"/>
        <v>43574</v>
      </c>
      <c r="I81" s="2" t="s">
        <v>307</v>
      </c>
      <c r="J81" s="3">
        <f t="shared" ca="1" si="23"/>
        <v>43830</v>
      </c>
      <c r="K81" s="2">
        <v>9789838250</v>
      </c>
      <c r="L81" s="2">
        <f t="shared" si="24"/>
        <v>9789838250</v>
      </c>
      <c r="M81" s="2" t="s">
        <v>94</v>
      </c>
      <c r="N81" s="2" t="str">
        <f t="shared" si="25"/>
        <v>suresh@gmail.com</v>
      </c>
      <c r="O81" s="12">
        <v>81849</v>
      </c>
      <c r="P81" s="2" t="str">
        <f t="shared" si="14"/>
        <v>Above 80K</v>
      </c>
      <c r="Q81" s="2"/>
      <c r="R81" s="2" t="s">
        <v>156</v>
      </c>
      <c r="S81" s="2" t="str">
        <f t="shared" si="15"/>
        <v>M6</v>
      </c>
      <c r="T81" s="2" t="s">
        <v>37</v>
      </c>
      <c r="U81" s="2" t="str">
        <f t="shared" si="26"/>
        <v>ACTIVE</v>
      </c>
      <c r="V81" s="2">
        <f t="shared" ca="1" si="16"/>
        <v>256</v>
      </c>
      <c r="W81" s="2">
        <f t="shared" ca="1" si="17"/>
        <v>8</v>
      </c>
      <c r="X81" s="2">
        <f t="shared" ca="1" si="18"/>
        <v>0</v>
      </c>
      <c r="Y81" s="2"/>
      <c r="Z81" s="2"/>
      <c r="AA81" s="2" t="str">
        <f t="shared" ca="1" si="27"/>
        <v>CHECK</v>
      </c>
    </row>
    <row r="82" spans="1:27" x14ac:dyDescent="0.3">
      <c r="A82" s="2" t="s">
        <v>308</v>
      </c>
      <c r="B82" s="2" t="str">
        <f t="shared" si="19"/>
        <v>EMP81</v>
      </c>
      <c r="C82" s="2" t="s">
        <v>96</v>
      </c>
      <c r="D82" s="2" t="str">
        <f t="shared" si="20"/>
        <v>Neha</v>
      </c>
      <c r="E82" s="2" t="s">
        <v>129</v>
      </c>
      <c r="F82" s="2" t="str">
        <f t="shared" si="21"/>
        <v>SALES</v>
      </c>
      <c r="G82" s="6" t="s">
        <v>309</v>
      </c>
      <c r="H82" s="8">
        <f t="shared" si="22"/>
        <v>44102</v>
      </c>
      <c r="I82" s="2" t="s">
        <v>310</v>
      </c>
      <c r="J82" s="3">
        <f t="shared" ca="1" si="23"/>
        <v>45395</v>
      </c>
      <c r="K82" s="2">
        <v>9397764802</v>
      </c>
      <c r="L82" s="2">
        <f t="shared" si="24"/>
        <v>9397764802</v>
      </c>
      <c r="M82" s="2" t="s">
        <v>107</v>
      </c>
      <c r="N82" s="2" t="str">
        <f t="shared" si="25"/>
        <v>vikas@company.com</v>
      </c>
      <c r="O82" s="12">
        <v>47935</v>
      </c>
      <c r="P82" s="2" t="str">
        <f t="shared" si="14"/>
        <v>40K-60K</v>
      </c>
      <c r="Q82" s="2"/>
      <c r="R82" s="2" t="s">
        <v>102</v>
      </c>
      <c r="S82" s="2" t="str">
        <f t="shared" si="15"/>
        <v>M20</v>
      </c>
      <c r="T82" s="2" t="s">
        <v>17</v>
      </c>
      <c r="U82" s="2" t="str">
        <f t="shared" si="26"/>
        <v>RESIGNED</v>
      </c>
      <c r="V82" s="2">
        <f t="shared" ca="1" si="16"/>
        <v>1293</v>
      </c>
      <c r="W82" s="2">
        <f t="shared" ca="1" si="17"/>
        <v>42</v>
      </c>
      <c r="X82" s="2">
        <f t="shared" ca="1" si="18"/>
        <v>3</v>
      </c>
      <c r="Y82" s="2"/>
      <c r="Z82" s="2"/>
      <c r="AA82" s="2" t="str">
        <f t="shared" ca="1" si="27"/>
        <v>OK</v>
      </c>
    </row>
    <row r="83" spans="1:27" x14ac:dyDescent="0.3">
      <c r="A83" s="2" t="s">
        <v>311</v>
      </c>
      <c r="B83" s="2" t="str">
        <f t="shared" si="19"/>
        <v>EMP82</v>
      </c>
      <c r="C83" s="2" t="s">
        <v>161</v>
      </c>
      <c r="D83" s="2" t="str">
        <f t="shared" si="20"/>
        <v>Kiran</v>
      </c>
      <c r="E83" s="2" t="s">
        <v>48</v>
      </c>
      <c r="F83" s="2" t="str">
        <f t="shared" si="21"/>
        <v>FINANCE</v>
      </c>
      <c r="G83" s="6" t="s">
        <v>312</v>
      </c>
      <c r="H83" s="8">
        <f t="shared" si="22"/>
        <v>44167</v>
      </c>
      <c r="I83" s="2" t="s">
        <v>313</v>
      </c>
      <c r="J83" s="3">
        <f t="shared" ca="1" si="23"/>
        <v>44250</v>
      </c>
      <c r="K83" s="2">
        <v>9751647835</v>
      </c>
      <c r="L83" s="2">
        <f t="shared" si="24"/>
        <v>9751647835</v>
      </c>
      <c r="M83" s="2" t="s">
        <v>22</v>
      </c>
      <c r="N83" s="2" t="str">
        <f t="shared" si="25"/>
        <v>pooja@company.com</v>
      </c>
      <c r="O83" s="12">
        <v>75178</v>
      </c>
      <c r="P83" s="2" t="str">
        <f t="shared" si="14"/>
        <v>60K-80K</v>
      </c>
      <c r="Q83" s="2"/>
      <c r="R83" s="2" t="s">
        <v>156</v>
      </c>
      <c r="S83" s="2" t="str">
        <f t="shared" si="15"/>
        <v>M6</v>
      </c>
      <c r="T83" s="2" t="s">
        <v>17</v>
      </c>
      <c r="U83" s="2" t="str">
        <f t="shared" si="26"/>
        <v>RESIGNED</v>
      </c>
      <c r="V83" s="2">
        <f t="shared" ca="1" si="16"/>
        <v>83</v>
      </c>
      <c r="W83" s="2">
        <f t="shared" ca="1" si="17"/>
        <v>2</v>
      </c>
      <c r="X83" s="2">
        <f t="shared" ca="1" si="18"/>
        <v>0</v>
      </c>
      <c r="Y83" s="2"/>
      <c r="Z83" s="2"/>
      <c r="AA83" s="2" t="str">
        <f t="shared" ca="1" si="27"/>
        <v>OK</v>
      </c>
    </row>
    <row r="84" spans="1:27" x14ac:dyDescent="0.3">
      <c r="A84" s="2" t="s">
        <v>314</v>
      </c>
      <c r="B84" s="2" t="str">
        <f t="shared" si="19"/>
        <v>EMP83</v>
      </c>
      <c r="C84" s="2" t="s">
        <v>63</v>
      </c>
      <c r="D84" s="2" t="str">
        <f t="shared" si="20"/>
        <v>Pooja</v>
      </c>
      <c r="E84" s="2" t="s">
        <v>129</v>
      </c>
      <c r="F84" s="2" t="str">
        <f t="shared" si="21"/>
        <v>SALES</v>
      </c>
      <c r="G84" s="6" t="s">
        <v>315</v>
      </c>
      <c r="H84" s="8">
        <f t="shared" si="22"/>
        <v>44402</v>
      </c>
      <c r="I84" s="2" t="s">
        <v>316</v>
      </c>
      <c r="J84" s="3">
        <f t="shared" ca="1" si="23"/>
        <v>45183</v>
      </c>
      <c r="K84" s="2">
        <v>9147068857</v>
      </c>
      <c r="L84" s="2">
        <f t="shared" si="24"/>
        <v>9147068857</v>
      </c>
      <c r="M84" s="2" t="s">
        <v>36</v>
      </c>
      <c r="N84" s="2" t="str">
        <f t="shared" si="25"/>
        <v>neha@company.com</v>
      </c>
      <c r="O84" s="12">
        <v>15609</v>
      </c>
      <c r="P84" s="2" t="str">
        <f t="shared" si="14"/>
        <v>Below 20K</v>
      </c>
      <c r="Q84" s="2"/>
      <c r="R84" s="2" t="s">
        <v>186</v>
      </c>
      <c r="S84" s="2" t="str">
        <f t="shared" si="15"/>
        <v>M11</v>
      </c>
      <c r="T84" s="2" t="s">
        <v>45</v>
      </c>
      <c r="U84" s="2" t="str">
        <f t="shared" si="26"/>
        <v>RESIGNED</v>
      </c>
      <c r="V84" s="2">
        <f t="shared" ca="1" si="16"/>
        <v>781</v>
      </c>
      <c r="W84" s="2">
        <f t="shared" ca="1" si="17"/>
        <v>25</v>
      </c>
      <c r="X84" s="2">
        <f t="shared" ca="1" si="18"/>
        <v>2</v>
      </c>
      <c r="Y84" s="2"/>
      <c r="Z84" s="2"/>
      <c r="AA84" s="2" t="str">
        <f t="shared" ca="1" si="27"/>
        <v>OK</v>
      </c>
    </row>
    <row r="85" spans="1:27" x14ac:dyDescent="0.3">
      <c r="A85" s="2" t="s">
        <v>317</v>
      </c>
      <c r="B85" s="2" t="str">
        <f t="shared" si="19"/>
        <v>EMP84</v>
      </c>
      <c r="C85" s="2" t="s">
        <v>81</v>
      </c>
      <c r="D85" s="2" t="str">
        <f t="shared" si="20"/>
        <v>Suresh</v>
      </c>
      <c r="E85" s="2" t="s">
        <v>57</v>
      </c>
      <c r="F85" s="2" t="str">
        <f t="shared" si="21"/>
        <v>HR</v>
      </c>
      <c r="G85" s="6" t="s">
        <v>318</v>
      </c>
      <c r="H85" s="8">
        <f t="shared" si="22"/>
        <v>44146</v>
      </c>
      <c r="I85" s="2"/>
      <c r="J85" s="3">
        <f t="shared" ca="1" si="23"/>
        <v>46024</v>
      </c>
      <c r="K85" s="2">
        <v>9829974201</v>
      </c>
      <c r="L85" s="2">
        <f t="shared" si="24"/>
        <v>9829974201</v>
      </c>
      <c r="M85" s="2" t="s">
        <v>22</v>
      </c>
      <c r="N85" s="2" t="str">
        <f t="shared" si="25"/>
        <v>pooja@company.com</v>
      </c>
      <c r="O85" s="12">
        <v>71565</v>
      </c>
      <c r="P85" s="2" t="str">
        <f t="shared" si="14"/>
        <v>60K-80K</v>
      </c>
      <c r="Q85" s="2"/>
      <c r="R85" s="2" t="s">
        <v>156</v>
      </c>
      <c r="S85" s="2" t="str">
        <f t="shared" si="15"/>
        <v>M6</v>
      </c>
      <c r="T85" s="2" t="s">
        <v>31</v>
      </c>
      <c r="U85" s="2" t="str">
        <f t="shared" si="26"/>
        <v>ON HOLD</v>
      </c>
      <c r="V85" s="2">
        <f t="shared" ca="1" si="16"/>
        <v>1878</v>
      </c>
      <c r="W85" s="2">
        <f t="shared" ca="1" si="17"/>
        <v>61</v>
      </c>
      <c r="X85" s="2">
        <f t="shared" ca="1" si="18"/>
        <v>5</v>
      </c>
      <c r="Y85" s="2"/>
      <c r="Z85" s="2"/>
      <c r="AA85" s="2" t="str">
        <f t="shared" ca="1" si="27"/>
        <v>OK</v>
      </c>
    </row>
    <row r="86" spans="1:27" x14ac:dyDescent="0.3">
      <c r="A86" s="2" t="s">
        <v>319</v>
      </c>
      <c r="B86" s="2" t="str">
        <f t="shared" si="19"/>
        <v>EMP85</v>
      </c>
      <c r="C86" s="2" t="s">
        <v>115</v>
      </c>
      <c r="D86" s="2" t="str">
        <f t="shared" si="20"/>
        <v>Rahul</v>
      </c>
      <c r="E86" s="2" t="s">
        <v>40</v>
      </c>
      <c r="F86" s="2" t="str">
        <f t="shared" si="21"/>
        <v>SALES</v>
      </c>
      <c r="G86" s="6" t="s">
        <v>320</v>
      </c>
      <c r="H86" s="8">
        <f t="shared" si="22"/>
        <v>44259</v>
      </c>
      <c r="I86" s="2" t="s">
        <v>321</v>
      </c>
      <c r="J86" s="3">
        <f t="shared" ca="1" si="23"/>
        <v>44933</v>
      </c>
      <c r="K86" s="2">
        <v>9425753674</v>
      </c>
      <c r="L86" s="2">
        <f t="shared" si="24"/>
        <v>9425753674</v>
      </c>
      <c r="M86" s="2" t="s">
        <v>22</v>
      </c>
      <c r="N86" s="2" t="str">
        <f t="shared" si="25"/>
        <v>pooja@company.com</v>
      </c>
      <c r="O86" s="12">
        <v>22625</v>
      </c>
      <c r="P86" s="2" t="str">
        <f t="shared" si="14"/>
        <v>20K-40K</v>
      </c>
      <c r="Q86" s="2"/>
      <c r="R86" s="2" t="s">
        <v>108</v>
      </c>
      <c r="S86" s="2" t="str">
        <f t="shared" si="15"/>
        <v>M10</v>
      </c>
      <c r="T86" s="2" t="s">
        <v>31</v>
      </c>
      <c r="U86" s="2" t="str">
        <f t="shared" si="26"/>
        <v>ON HOLD</v>
      </c>
      <c r="V86" s="2">
        <f t="shared" ca="1" si="16"/>
        <v>674</v>
      </c>
      <c r="W86" s="2">
        <f t="shared" ca="1" si="17"/>
        <v>22</v>
      </c>
      <c r="X86" s="2">
        <f t="shared" ca="1" si="18"/>
        <v>1</v>
      </c>
      <c r="Y86" s="2"/>
      <c r="Z86" s="2"/>
      <c r="AA86" s="2" t="str">
        <f t="shared" ca="1" si="27"/>
        <v>OK</v>
      </c>
    </row>
    <row r="87" spans="1:27" x14ac:dyDescent="0.3">
      <c r="A87" s="2" t="s">
        <v>322</v>
      </c>
      <c r="B87" s="2" t="str">
        <f t="shared" si="19"/>
        <v>EMP86</v>
      </c>
      <c r="C87" s="2" t="s">
        <v>104</v>
      </c>
      <c r="D87" s="2" t="str">
        <f t="shared" si="20"/>
        <v>Vikas</v>
      </c>
      <c r="E87" s="2" t="s">
        <v>40</v>
      </c>
      <c r="F87" s="2" t="str">
        <f t="shared" si="21"/>
        <v>SALES</v>
      </c>
      <c r="G87" s="6" t="s">
        <v>323</v>
      </c>
      <c r="H87" s="8">
        <f t="shared" si="22"/>
        <v>43809</v>
      </c>
      <c r="I87" s="2" t="s">
        <v>324</v>
      </c>
      <c r="J87" s="3">
        <f t="shared" ca="1" si="23"/>
        <v>44858</v>
      </c>
      <c r="K87" s="2">
        <v>9924938265</v>
      </c>
      <c r="L87" s="2">
        <f t="shared" si="24"/>
        <v>9924938265</v>
      </c>
      <c r="M87" s="2" t="s">
        <v>118</v>
      </c>
      <c r="N87" s="2" t="str">
        <f t="shared" si="25"/>
        <v>rahul@company.com</v>
      </c>
      <c r="O87" s="12">
        <v>37539</v>
      </c>
      <c r="P87" s="2" t="str">
        <f t="shared" si="14"/>
        <v>20K-40K</v>
      </c>
      <c r="Q87" s="2"/>
      <c r="R87" s="2" t="s">
        <v>127</v>
      </c>
      <c r="S87" s="2" t="str">
        <f t="shared" si="15"/>
        <v>M19</v>
      </c>
      <c r="T87" s="2" t="s">
        <v>45</v>
      </c>
      <c r="U87" s="2" t="str">
        <f t="shared" si="26"/>
        <v>RESIGNED</v>
      </c>
      <c r="V87" s="2">
        <f t="shared" ca="1" si="16"/>
        <v>1049</v>
      </c>
      <c r="W87" s="2">
        <f t="shared" ca="1" si="17"/>
        <v>34</v>
      </c>
      <c r="X87" s="2">
        <f t="shared" ca="1" si="18"/>
        <v>2</v>
      </c>
      <c r="Y87" s="2"/>
      <c r="Z87" s="2"/>
      <c r="AA87" s="2" t="str">
        <f t="shared" ca="1" si="27"/>
        <v>OK</v>
      </c>
    </row>
    <row r="88" spans="1:27" x14ac:dyDescent="0.3">
      <c r="A88" s="2" t="s">
        <v>325</v>
      </c>
      <c r="B88" s="2" t="str">
        <f t="shared" si="19"/>
        <v>EMP87</v>
      </c>
      <c r="C88" s="2" t="s">
        <v>39</v>
      </c>
      <c r="D88" s="2" t="str">
        <f t="shared" si="20"/>
        <v>Amit</v>
      </c>
      <c r="E88" s="2" t="s">
        <v>48</v>
      </c>
      <c r="F88" s="2" t="str">
        <f t="shared" si="21"/>
        <v>FINANCE</v>
      </c>
      <c r="G88" s="6" t="s">
        <v>326</v>
      </c>
      <c r="H88" s="8">
        <f t="shared" si="22"/>
        <v>43783</v>
      </c>
      <c r="I88" s="2" t="s">
        <v>165</v>
      </c>
      <c r="J88" s="3">
        <f t="shared" ca="1" si="23"/>
        <v>45019</v>
      </c>
      <c r="K88" s="2">
        <v>9839858808</v>
      </c>
      <c r="L88" s="2">
        <f t="shared" si="24"/>
        <v>9839858808</v>
      </c>
      <c r="M88" s="2" t="s">
        <v>51</v>
      </c>
      <c r="N88" s="2" t="str">
        <f t="shared" si="25"/>
        <v>kiran@company.com</v>
      </c>
      <c r="O88" s="12">
        <v>45434</v>
      </c>
      <c r="P88" s="2" t="str">
        <f t="shared" si="14"/>
        <v>40K-60K</v>
      </c>
      <c r="Q88" s="2"/>
      <c r="R88" s="2" t="s">
        <v>23</v>
      </c>
      <c r="S88" s="2" t="str">
        <f t="shared" si="15"/>
        <v>M8</v>
      </c>
      <c r="T88" s="2" t="s">
        <v>17</v>
      </c>
      <c r="U88" s="2" t="str">
        <f t="shared" si="26"/>
        <v>RESIGNED</v>
      </c>
      <c r="V88" s="2">
        <f t="shared" ca="1" si="16"/>
        <v>1236</v>
      </c>
      <c r="W88" s="2">
        <f t="shared" ca="1" si="17"/>
        <v>40</v>
      </c>
      <c r="X88" s="2">
        <f t="shared" ca="1" si="18"/>
        <v>3</v>
      </c>
      <c r="Y88" s="2"/>
      <c r="Z88" s="2"/>
      <c r="AA88" s="2" t="str">
        <f t="shared" ca="1" si="27"/>
        <v>OK</v>
      </c>
    </row>
    <row r="89" spans="1:27" x14ac:dyDescent="0.3">
      <c r="A89" s="2" t="s">
        <v>327</v>
      </c>
      <c r="B89" s="2" t="str">
        <f t="shared" si="19"/>
        <v>EMP88</v>
      </c>
      <c r="C89" s="2" t="s">
        <v>63</v>
      </c>
      <c r="D89" s="2" t="str">
        <f t="shared" si="20"/>
        <v>Pooja</v>
      </c>
      <c r="E89" s="2" t="s">
        <v>12</v>
      </c>
      <c r="F89" s="2" t="str">
        <f t="shared" si="21"/>
        <v>IT</v>
      </c>
      <c r="G89" s="6" t="s">
        <v>324</v>
      </c>
      <c r="H89" s="8">
        <f t="shared" si="22"/>
        <v>44858</v>
      </c>
      <c r="I89" s="2" t="s">
        <v>328</v>
      </c>
      <c r="J89" s="3">
        <f t="shared" ca="1" si="23"/>
        <v>45676</v>
      </c>
      <c r="K89" s="2">
        <v>9383579421</v>
      </c>
      <c r="L89" s="2">
        <f t="shared" si="24"/>
        <v>9383579421</v>
      </c>
      <c r="M89" s="2" t="s">
        <v>94</v>
      </c>
      <c r="N89" s="2" t="str">
        <f t="shared" si="25"/>
        <v>suresh@gmail.com</v>
      </c>
      <c r="O89" s="12">
        <v>22336</v>
      </c>
      <c r="P89" s="2" t="str">
        <f t="shared" si="14"/>
        <v>20K-40K</v>
      </c>
      <c r="Q89" s="2"/>
      <c r="R89" s="2" t="s">
        <v>71</v>
      </c>
      <c r="S89" s="2" t="str">
        <f t="shared" si="15"/>
        <v>M14</v>
      </c>
      <c r="T89" s="2" t="s">
        <v>17</v>
      </c>
      <c r="U89" s="2" t="str">
        <f t="shared" si="26"/>
        <v>RESIGNED</v>
      </c>
      <c r="V89" s="2">
        <f t="shared" ca="1" si="16"/>
        <v>818</v>
      </c>
      <c r="W89" s="2">
        <f t="shared" ca="1" si="17"/>
        <v>26</v>
      </c>
      <c r="X89" s="2">
        <f t="shared" ca="1" si="18"/>
        <v>2</v>
      </c>
      <c r="Y89" s="2"/>
      <c r="Z89" s="2"/>
      <c r="AA89" s="2" t="str">
        <f t="shared" ca="1" si="27"/>
        <v>OK</v>
      </c>
    </row>
    <row r="90" spans="1:27" x14ac:dyDescent="0.3">
      <c r="A90" s="2" t="s">
        <v>329</v>
      </c>
      <c r="B90" s="2" t="str">
        <f t="shared" si="19"/>
        <v>EMP89</v>
      </c>
      <c r="C90" s="2" t="s">
        <v>47</v>
      </c>
      <c r="D90" s="2" t="str">
        <f t="shared" si="20"/>
        <v>Sunita</v>
      </c>
      <c r="E90" s="2" t="s">
        <v>12</v>
      </c>
      <c r="F90" s="2" t="str">
        <f t="shared" si="21"/>
        <v>IT</v>
      </c>
      <c r="G90" s="6" t="s">
        <v>330</v>
      </c>
      <c r="H90" s="8">
        <f t="shared" si="22"/>
        <v>44923</v>
      </c>
      <c r="I90" s="2" t="s">
        <v>331</v>
      </c>
      <c r="J90" s="3">
        <f t="shared" ca="1" si="23"/>
        <v>45612</v>
      </c>
      <c r="K90" s="2">
        <v>9731920574</v>
      </c>
      <c r="L90" s="2">
        <f t="shared" si="24"/>
        <v>9731920574</v>
      </c>
      <c r="M90" s="2" t="s">
        <v>15</v>
      </c>
      <c r="N90" s="2" t="str">
        <f t="shared" si="25"/>
        <v>amit@company.com</v>
      </c>
      <c r="O90" s="12">
        <v>73367</v>
      </c>
      <c r="P90" s="2" t="str">
        <f t="shared" si="14"/>
        <v>60K-80K</v>
      </c>
      <c r="Q90" s="2"/>
      <c r="R90" s="2" t="s">
        <v>71</v>
      </c>
      <c r="S90" s="2" t="str">
        <f t="shared" si="15"/>
        <v>M14</v>
      </c>
      <c r="T90" s="2" t="s">
        <v>31</v>
      </c>
      <c r="U90" s="2" t="str">
        <f t="shared" si="26"/>
        <v>ON HOLD</v>
      </c>
      <c r="V90" s="2">
        <f t="shared" ca="1" si="16"/>
        <v>689</v>
      </c>
      <c r="W90" s="2">
        <f t="shared" ca="1" si="17"/>
        <v>22</v>
      </c>
      <c r="X90" s="2">
        <f t="shared" ca="1" si="18"/>
        <v>1</v>
      </c>
      <c r="Y90" s="2"/>
      <c r="Z90" s="2"/>
      <c r="AA90" s="2" t="str">
        <f t="shared" ca="1" si="27"/>
        <v>OK</v>
      </c>
    </row>
    <row r="91" spans="1:27" x14ac:dyDescent="0.3">
      <c r="A91" s="2" t="s">
        <v>332</v>
      </c>
      <c r="B91" s="2" t="str">
        <f t="shared" si="19"/>
        <v>EMP90</v>
      </c>
      <c r="C91" s="2" t="s">
        <v>39</v>
      </c>
      <c r="D91" s="2" t="str">
        <f t="shared" si="20"/>
        <v>Amit</v>
      </c>
      <c r="E91" s="2" t="s">
        <v>40</v>
      </c>
      <c r="F91" s="2" t="str">
        <f t="shared" si="21"/>
        <v>SALES</v>
      </c>
      <c r="G91" s="6" t="s">
        <v>333</v>
      </c>
      <c r="H91" s="8">
        <f t="shared" si="22"/>
        <v>45253</v>
      </c>
      <c r="I91" s="2" t="s">
        <v>334</v>
      </c>
      <c r="J91" s="3">
        <f t="shared" ca="1" si="23"/>
        <v>46648</v>
      </c>
      <c r="K91" s="2">
        <v>9632028890</v>
      </c>
      <c r="L91" s="2">
        <f t="shared" si="24"/>
        <v>9632028890</v>
      </c>
      <c r="M91" s="2" t="s">
        <v>107</v>
      </c>
      <c r="N91" s="2" t="str">
        <f t="shared" si="25"/>
        <v>vikas@company.com</v>
      </c>
      <c r="O91" s="12">
        <v>84519</v>
      </c>
      <c r="P91" s="2" t="str">
        <f t="shared" si="14"/>
        <v>Above 80K</v>
      </c>
      <c r="Q91" s="2"/>
      <c r="R91" s="2" t="s">
        <v>335</v>
      </c>
      <c r="S91" s="2" t="str">
        <f t="shared" si="15"/>
        <v>M19</v>
      </c>
      <c r="T91" s="2" t="s">
        <v>31</v>
      </c>
      <c r="U91" s="2" t="str">
        <f t="shared" si="26"/>
        <v>ON HOLD</v>
      </c>
      <c r="V91" s="2">
        <f t="shared" ca="1" si="16"/>
        <v>1395</v>
      </c>
      <c r="W91" s="2">
        <f t="shared" ca="1" si="17"/>
        <v>45</v>
      </c>
      <c r="X91" s="2">
        <f t="shared" ca="1" si="18"/>
        <v>3</v>
      </c>
      <c r="Y91" s="2"/>
      <c r="Z91" s="2"/>
      <c r="AA91" s="2" t="str">
        <f t="shared" ca="1" si="27"/>
        <v>OK</v>
      </c>
    </row>
    <row r="92" spans="1:27" x14ac:dyDescent="0.3">
      <c r="A92" s="2" t="s">
        <v>336</v>
      </c>
      <c r="B92" s="2" t="str">
        <f t="shared" si="19"/>
        <v>EMP91</v>
      </c>
      <c r="C92" s="2" t="s">
        <v>104</v>
      </c>
      <c r="D92" s="2" t="str">
        <f t="shared" si="20"/>
        <v>Vikas</v>
      </c>
      <c r="E92" s="2" t="s">
        <v>12</v>
      </c>
      <c r="F92" s="2" t="str">
        <f t="shared" si="21"/>
        <v>IT</v>
      </c>
      <c r="G92" s="6" t="s">
        <v>337</v>
      </c>
      <c r="H92" s="8">
        <f t="shared" si="22"/>
        <v>44170</v>
      </c>
      <c r="I92" s="2"/>
      <c r="J92" s="3">
        <f t="shared" ca="1" si="23"/>
        <v>46024</v>
      </c>
      <c r="K92" s="2">
        <v>9387766279</v>
      </c>
      <c r="L92" s="2">
        <f t="shared" si="24"/>
        <v>9387766279</v>
      </c>
      <c r="M92" s="2" t="s">
        <v>84</v>
      </c>
      <c r="N92" s="2" t="str">
        <f t="shared" si="25"/>
        <v>ankit@company.com</v>
      </c>
      <c r="O92" s="12">
        <v>18820</v>
      </c>
      <c r="P92" s="2" t="str">
        <f t="shared" si="14"/>
        <v>Below 20K</v>
      </c>
      <c r="Q92" s="2"/>
      <c r="R92" s="2" t="s">
        <v>142</v>
      </c>
      <c r="S92" s="2" t="str">
        <f t="shared" si="15"/>
        <v>M23</v>
      </c>
      <c r="T92" s="2" t="s">
        <v>31</v>
      </c>
      <c r="U92" s="2" t="str">
        <f t="shared" si="26"/>
        <v>ON HOLD</v>
      </c>
      <c r="V92" s="2">
        <f t="shared" ca="1" si="16"/>
        <v>1854</v>
      </c>
      <c r="W92" s="2">
        <f t="shared" ca="1" si="17"/>
        <v>60</v>
      </c>
      <c r="X92" s="2">
        <f t="shared" ca="1" si="18"/>
        <v>5</v>
      </c>
      <c r="Y92" s="2"/>
      <c r="Z92" s="2"/>
      <c r="AA92" s="2" t="str">
        <f t="shared" ca="1" si="27"/>
        <v>OK</v>
      </c>
    </row>
    <row r="93" spans="1:27" x14ac:dyDescent="0.3">
      <c r="A93" s="2" t="s">
        <v>338</v>
      </c>
      <c r="B93" s="2" t="str">
        <f t="shared" si="19"/>
        <v>EMP92</v>
      </c>
      <c r="C93" s="2" t="s">
        <v>63</v>
      </c>
      <c r="D93" s="2" t="str">
        <f t="shared" si="20"/>
        <v>Pooja</v>
      </c>
      <c r="E93" s="2" t="s">
        <v>33</v>
      </c>
      <c r="F93" s="2" t="str">
        <f t="shared" si="21"/>
        <v>IT</v>
      </c>
      <c r="G93" s="6" t="s">
        <v>339</v>
      </c>
      <c r="H93" s="8">
        <f t="shared" si="22"/>
        <v>44544</v>
      </c>
      <c r="I93" s="2" t="s">
        <v>340</v>
      </c>
      <c r="J93" s="3">
        <f t="shared" ca="1" si="23"/>
        <v>45936</v>
      </c>
      <c r="K93" s="2">
        <v>9844127862</v>
      </c>
      <c r="L93" s="2">
        <f t="shared" si="24"/>
        <v>9844127862</v>
      </c>
      <c r="M93" s="2" t="s">
        <v>70</v>
      </c>
      <c r="N93" s="2" t="str">
        <f t="shared" si="25"/>
        <v>sunita@company.com</v>
      </c>
      <c r="O93" s="12">
        <v>36271</v>
      </c>
      <c r="P93" s="2" t="str">
        <f t="shared" si="14"/>
        <v>20K-40K</v>
      </c>
      <c r="Q93" s="2"/>
      <c r="R93" s="2" t="s">
        <v>341</v>
      </c>
      <c r="S93" s="2" t="str">
        <f t="shared" si="15"/>
        <v>M22</v>
      </c>
      <c r="T93" s="2" t="s">
        <v>31</v>
      </c>
      <c r="U93" s="2" t="str">
        <f t="shared" si="26"/>
        <v>ON HOLD</v>
      </c>
      <c r="V93" s="2">
        <f t="shared" ca="1" si="16"/>
        <v>1392</v>
      </c>
      <c r="W93" s="2">
        <f t="shared" ca="1" si="17"/>
        <v>45</v>
      </c>
      <c r="X93" s="2">
        <f t="shared" ca="1" si="18"/>
        <v>3</v>
      </c>
      <c r="Y93" s="2"/>
      <c r="Z93" s="2"/>
      <c r="AA93" s="2" t="str">
        <f t="shared" ca="1" si="27"/>
        <v>OK</v>
      </c>
    </row>
    <row r="94" spans="1:27" x14ac:dyDescent="0.3">
      <c r="A94" s="2" t="s">
        <v>342</v>
      </c>
      <c r="B94" s="2" t="str">
        <f t="shared" si="19"/>
        <v>EMP93</v>
      </c>
      <c r="C94" s="2" t="s">
        <v>96</v>
      </c>
      <c r="D94" s="2" t="str">
        <f t="shared" si="20"/>
        <v>Neha</v>
      </c>
      <c r="E94" s="2" t="s">
        <v>12</v>
      </c>
      <c r="F94" s="2" t="str">
        <f t="shared" si="21"/>
        <v>IT</v>
      </c>
      <c r="G94" s="6" t="s">
        <v>343</v>
      </c>
      <c r="H94" s="8">
        <f t="shared" si="22"/>
        <v>44516</v>
      </c>
      <c r="I94" s="2" t="s">
        <v>344</v>
      </c>
      <c r="J94" s="3">
        <f t="shared" ca="1" si="23"/>
        <v>45275</v>
      </c>
      <c r="K94" s="2">
        <v>9828757360</v>
      </c>
      <c r="L94" s="2">
        <f t="shared" si="24"/>
        <v>9828757360</v>
      </c>
      <c r="M94" s="2" t="s">
        <v>22</v>
      </c>
      <c r="N94" s="2" t="str">
        <f t="shared" si="25"/>
        <v>pooja@company.com</v>
      </c>
      <c r="O94" s="12">
        <v>20835</v>
      </c>
      <c r="P94" s="2" t="str">
        <f t="shared" si="14"/>
        <v>20K-40K</v>
      </c>
      <c r="Q94" s="2"/>
      <c r="R94" s="2" t="s">
        <v>75</v>
      </c>
      <c r="S94" s="2" t="str">
        <f t="shared" si="15"/>
        <v>M12</v>
      </c>
      <c r="T94" s="2" t="s">
        <v>17</v>
      </c>
      <c r="U94" s="2" t="str">
        <f t="shared" si="26"/>
        <v>RESIGNED</v>
      </c>
      <c r="V94" s="2">
        <f t="shared" ca="1" si="16"/>
        <v>759</v>
      </c>
      <c r="W94" s="2">
        <f t="shared" ca="1" si="17"/>
        <v>24</v>
      </c>
      <c r="X94" s="2">
        <f t="shared" ca="1" si="18"/>
        <v>2</v>
      </c>
      <c r="Y94" s="2"/>
      <c r="Z94" s="2"/>
      <c r="AA94" s="2" t="str">
        <f t="shared" ca="1" si="27"/>
        <v>OK</v>
      </c>
    </row>
    <row r="95" spans="1:27" x14ac:dyDescent="0.3">
      <c r="A95" s="2" t="s">
        <v>345</v>
      </c>
      <c r="B95" s="2" t="str">
        <f t="shared" si="19"/>
        <v>EMP94</v>
      </c>
      <c r="C95" s="2" t="s">
        <v>11</v>
      </c>
      <c r="D95" s="2" t="str">
        <f t="shared" si="20"/>
        <v>Ravi</v>
      </c>
      <c r="E95" s="2" t="s">
        <v>57</v>
      </c>
      <c r="F95" s="2" t="str">
        <f t="shared" si="21"/>
        <v>HR</v>
      </c>
      <c r="G95" s="6" t="s">
        <v>346</v>
      </c>
      <c r="H95" s="8">
        <f t="shared" si="22"/>
        <v>43623</v>
      </c>
      <c r="I95" s="2" t="s">
        <v>347</v>
      </c>
      <c r="J95" s="3">
        <f t="shared" ca="1" si="23"/>
        <v>44009</v>
      </c>
      <c r="K95" s="2">
        <v>9758816519</v>
      </c>
      <c r="L95" s="2">
        <f t="shared" si="24"/>
        <v>9758816519</v>
      </c>
      <c r="M95" s="2" t="s">
        <v>36</v>
      </c>
      <c r="N95" s="2" t="str">
        <f t="shared" si="25"/>
        <v>neha@company.com</v>
      </c>
      <c r="O95" s="12">
        <v>37432</v>
      </c>
      <c r="P95" s="2" t="str">
        <f t="shared" si="14"/>
        <v>20K-40K</v>
      </c>
      <c r="Q95" s="2"/>
      <c r="R95" s="2" t="s">
        <v>235</v>
      </c>
      <c r="S95" s="2" t="str">
        <f t="shared" si="15"/>
        <v>M25</v>
      </c>
      <c r="T95" s="2" t="s">
        <v>31</v>
      </c>
      <c r="U95" s="2" t="str">
        <f t="shared" si="26"/>
        <v>ON HOLD</v>
      </c>
      <c r="V95" s="2">
        <f t="shared" ca="1" si="16"/>
        <v>386</v>
      </c>
      <c r="W95" s="2">
        <f t="shared" ca="1" si="17"/>
        <v>12</v>
      </c>
      <c r="X95" s="2">
        <f t="shared" ca="1" si="18"/>
        <v>1</v>
      </c>
      <c r="Y95" s="2"/>
      <c r="Z95" s="2"/>
      <c r="AA95" s="2" t="str">
        <f t="shared" ca="1" si="27"/>
        <v>OK</v>
      </c>
    </row>
    <row r="96" spans="1:27" x14ac:dyDescent="0.3">
      <c r="A96" s="2" t="s">
        <v>348</v>
      </c>
      <c r="B96" s="2" t="str">
        <f t="shared" si="19"/>
        <v>EMP95</v>
      </c>
      <c r="C96" s="2" t="s">
        <v>25</v>
      </c>
      <c r="D96" s="2" t="str">
        <f t="shared" si="20"/>
        <v>Ankit</v>
      </c>
      <c r="E96" s="2" t="s">
        <v>57</v>
      </c>
      <c r="F96" s="2" t="str">
        <f t="shared" si="21"/>
        <v>HR</v>
      </c>
      <c r="G96" s="6" t="s">
        <v>349</v>
      </c>
      <c r="H96" s="8">
        <f t="shared" si="22"/>
        <v>45263</v>
      </c>
      <c r="I96" s="2" t="s">
        <v>350</v>
      </c>
      <c r="J96" s="3">
        <f t="shared" ca="1" si="23"/>
        <v>46149</v>
      </c>
      <c r="K96" s="2">
        <v>9841727344</v>
      </c>
      <c r="L96" s="2">
        <f t="shared" si="24"/>
        <v>9841727344</v>
      </c>
      <c r="M96" s="2" t="s">
        <v>43</v>
      </c>
      <c r="N96" s="2" t="str">
        <f t="shared" si="25"/>
        <v>ravi@company.com</v>
      </c>
      <c r="O96" s="12">
        <v>61106</v>
      </c>
      <c r="P96" s="2" t="str">
        <f t="shared" si="14"/>
        <v>60K-80K</v>
      </c>
      <c r="Q96" s="2"/>
      <c r="R96" s="2" t="s">
        <v>44</v>
      </c>
      <c r="S96" s="2" t="str">
        <f t="shared" si="15"/>
        <v>M9</v>
      </c>
      <c r="T96" s="2" t="s">
        <v>17</v>
      </c>
      <c r="U96" s="2" t="str">
        <f t="shared" si="26"/>
        <v>RESIGNED</v>
      </c>
      <c r="V96" s="2">
        <f t="shared" ca="1" si="16"/>
        <v>886</v>
      </c>
      <c r="W96" s="2">
        <f t="shared" ca="1" si="17"/>
        <v>29</v>
      </c>
      <c r="X96" s="2">
        <f t="shared" ca="1" si="18"/>
        <v>2</v>
      </c>
      <c r="Y96" s="2"/>
      <c r="Z96" s="2"/>
      <c r="AA96" s="2" t="str">
        <f t="shared" ca="1" si="27"/>
        <v>OK</v>
      </c>
    </row>
    <row r="97" spans="1:27" x14ac:dyDescent="0.3">
      <c r="A97" s="2" t="s">
        <v>351</v>
      </c>
      <c r="B97" s="2" t="str">
        <f t="shared" si="19"/>
        <v>EMP96</v>
      </c>
      <c r="C97" s="2" t="s">
        <v>161</v>
      </c>
      <c r="D97" s="2" t="str">
        <f t="shared" si="20"/>
        <v>Kiran</v>
      </c>
      <c r="E97" s="2" t="s">
        <v>40</v>
      </c>
      <c r="F97" s="2" t="str">
        <f t="shared" si="21"/>
        <v>SALES</v>
      </c>
      <c r="G97" s="6" t="s">
        <v>352</v>
      </c>
      <c r="H97" s="8">
        <f t="shared" si="22"/>
        <v>44261</v>
      </c>
      <c r="I97" s="2" t="s">
        <v>353</v>
      </c>
      <c r="J97" s="3">
        <f t="shared" ca="1" si="23"/>
        <v>45490</v>
      </c>
      <c r="K97" s="2">
        <v>9594756100</v>
      </c>
      <c r="L97" s="2">
        <f t="shared" si="24"/>
        <v>9594756100</v>
      </c>
      <c r="M97" s="2" t="s">
        <v>126</v>
      </c>
      <c r="N97" s="2" t="str">
        <f t="shared" si="25"/>
        <v>neha@gmail.com</v>
      </c>
      <c r="O97" s="12">
        <v>62069</v>
      </c>
      <c r="P97" s="2" t="str">
        <f t="shared" si="14"/>
        <v>60K-80K</v>
      </c>
      <c r="Q97" s="2"/>
      <c r="R97" s="2" t="s">
        <v>212</v>
      </c>
      <c r="S97" s="2" t="str">
        <f t="shared" si="15"/>
        <v>M18</v>
      </c>
      <c r="T97" s="2" t="s">
        <v>17</v>
      </c>
      <c r="U97" s="2" t="str">
        <f t="shared" si="26"/>
        <v>RESIGNED</v>
      </c>
      <c r="V97" s="2">
        <f t="shared" ca="1" si="16"/>
        <v>1229</v>
      </c>
      <c r="W97" s="2">
        <f t="shared" ca="1" si="17"/>
        <v>40</v>
      </c>
      <c r="X97" s="2">
        <f t="shared" ca="1" si="18"/>
        <v>3</v>
      </c>
      <c r="Y97" s="2"/>
      <c r="Z97" s="2"/>
      <c r="AA97" s="2" t="str">
        <f t="shared" ca="1" si="27"/>
        <v>OK</v>
      </c>
    </row>
    <row r="98" spans="1:27" x14ac:dyDescent="0.3">
      <c r="A98" s="2" t="s">
        <v>354</v>
      </c>
      <c r="B98" s="2" t="str">
        <f t="shared" si="19"/>
        <v>EMP97</v>
      </c>
      <c r="C98" s="2" t="s">
        <v>11</v>
      </c>
      <c r="D98" s="2" t="str">
        <f t="shared" si="20"/>
        <v>Ravi</v>
      </c>
      <c r="E98" s="2" t="s">
        <v>40</v>
      </c>
      <c r="F98" s="2" t="str">
        <f t="shared" si="21"/>
        <v>SALES</v>
      </c>
      <c r="G98" s="6" t="s">
        <v>355</v>
      </c>
      <c r="H98" s="8">
        <f t="shared" si="22"/>
        <v>44931</v>
      </c>
      <c r="I98" s="2" t="s">
        <v>356</v>
      </c>
      <c r="J98" s="3">
        <f t="shared" ca="1" si="23"/>
        <v>46283</v>
      </c>
      <c r="K98" s="2">
        <v>9170482684</v>
      </c>
      <c r="L98" s="2">
        <f t="shared" si="24"/>
        <v>9170482684</v>
      </c>
      <c r="M98" s="2" t="s">
        <v>70</v>
      </c>
      <c r="N98" s="2" t="str">
        <f t="shared" si="25"/>
        <v>sunita@company.com</v>
      </c>
      <c r="O98" s="12">
        <v>51835</v>
      </c>
      <c r="P98" s="2" t="str">
        <f t="shared" si="14"/>
        <v>40K-60K</v>
      </c>
      <c r="Q98" s="2"/>
      <c r="R98" s="2" t="s">
        <v>212</v>
      </c>
      <c r="S98" s="2" t="str">
        <f t="shared" si="15"/>
        <v>M18</v>
      </c>
      <c r="T98" s="2" t="s">
        <v>45</v>
      </c>
      <c r="U98" s="2" t="str">
        <f t="shared" si="26"/>
        <v>RESIGNED</v>
      </c>
      <c r="V98" s="2">
        <f t="shared" ca="1" si="16"/>
        <v>1352</v>
      </c>
      <c r="W98" s="2">
        <f t="shared" ca="1" si="17"/>
        <v>44</v>
      </c>
      <c r="X98" s="2">
        <f t="shared" ca="1" si="18"/>
        <v>3</v>
      </c>
      <c r="Y98" s="2"/>
      <c r="Z98" s="2"/>
      <c r="AA98" s="2" t="str">
        <f t="shared" ca="1" si="27"/>
        <v>OK</v>
      </c>
    </row>
    <row r="99" spans="1:27" x14ac:dyDescent="0.3">
      <c r="A99" s="2" t="s">
        <v>357</v>
      </c>
      <c r="B99" s="2" t="str">
        <f t="shared" si="19"/>
        <v>EMP98</v>
      </c>
      <c r="C99" s="2" t="s">
        <v>25</v>
      </c>
      <c r="D99" s="2" t="str">
        <f t="shared" si="20"/>
        <v>Ankit</v>
      </c>
      <c r="E99" s="2" t="s">
        <v>57</v>
      </c>
      <c r="F99" s="2" t="str">
        <f t="shared" si="21"/>
        <v>HR</v>
      </c>
      <c r="G99" s="6" t="s">
        <v>324</v>
      </c>
      <c r="H99" s="8">
        <f t="shared" si="22"/>
        <v>44858</v>
      </c>
      <c r="I99" s="2"/>
      <c r="J99" s="3">
        <f t="shared" ca="1" si="23"/>
        <v>46024</v>
      </c>
      <c r="K99" s="2">
        <v>9831807096</v>
      </c>
      <c r="L99" s="2">
        <f t="shared" si="24"/>
        <v>9831807096</v>
      </c>
      <c r="M99" s="2" t="s">
        <v>107</v>
      </c>
      <c r="N99" s="2" t="str">
        <f t="shared" si="25"/>
        <v>vikas@company.com</v>
      </c>
      <c r="O99" s="12">
        <v>39034</v>
      </c>
      <c r="P99" s="2" t="str">
        <f t="shared" si="14"/>
        <v>20K-40K</v>
      </c>
      <c r="Q99" s="2"/>
      <c r="R99" s="2" t="s">
        <v>358</v>
      </c>
      <c r="S99" s="2" t="str">
        <f t="shared" si="15"/>
        <v>M1</v>
      </c>
      <c r="T99" s="2" t="s">
        <v>37</v>
      </c>
      <c r="U99" s="2" t="str">
        <f t="shared" si="26"/>
        <v>ACTIVE</v>
      </c>
      <c r="V99" s="2">
        <f t="shared" ca="1" si="16"/>
        <v>1166</v>
      </c>
      <c r="W99" s="2">
        <f t="shared" ca="1" si="17"/>
        <v>38</v>
      </c>
      <c r="X99" s="2">
        <f t="shared" ca="1" si="18"/>
        <v>3</v>
      </c>
      <c r="Y99" s="2"/>
      <c r="Z99" s="2"/>
      <c r="AA99" s="2" t="str">
        <f t="shared" ca="1" si="27"/>
        <v>OK</v>
      </c>
    </row>
    <row r="100" spans="1:27" x14ac:dyDescent="0.3">
      <c r="A100" s="2" t="s">
        <v>359</v>
      </c>
      <c r="B100" s="2" t="str">
        <f t="shared" si="19"/>
        <v>EMP99</v>
      </c>
      <c r="C100" s="2" t="s">
        <v>115</v>
      </c>
      <c r="D100" s="2" t="str">
        <f t="shared" si="20"/>
        <v>Rahul</v>
      </c>
      <c r="E100" s="2" t="s">
        <v>40</v>
      </c>
      <c r="F100" s="2" t="str">
        <f t="shared" si="21"/>
        <v>SALES</v>
      </c>
      <c r="G100" s="6" t="s">
        <v>360</v>
      </c>
      <c r="H100" s="8">
        <f t="shared" si="22"/>
        <v>43999</v>
      </c>
      <c r="I100" s="2" t="s">
        <v>361</v>
      </c>
      <c r="J100" s="3">
        <f t="shared" ca="1" si="23"/>
        <v>45475</v>
      </c>
      <c r="K100" s="2">
        <v>9362510904</v>
      </c>
      <c r="L100" s="2">
        <f t="shared" si="24"/>
        <v>9362510904</v>
      </c>
      <c r="M100" s="2" t="s">
        <v>15</v>
      </c>
      <c r="N100" s="2" t="str">
        <f t="shared" si="25"/>
        <v>amit@company.com</v>
      </c>
      <c r="O100" s="12">
        <v>58967</v>
      </c>
      <c r="P100" s="2" t="str">
        <f t="shared" si="14"/>
        <v>40K-60K</v>
      </c>
      <c r="Q100" s="2"/>
      <c r="R100" s="2" t="s">
        <v>362</v>
      </c>
      <c r="S100" s="2" t="str">
        <f t="shared" si="15"/>
        <v>M3</v>
      </c>
      <c r="T100" s="2" t="s">
        <v>37</v>
      </c>
      <c r="U100" s="2" t="str">
        <f t="shared" si="26"/>
        <v>ACTIVE</v>
      </c>
      <c r="V100" s="2">
        <f t="shared" ca="1" si="16"/>
        <v>1476</v>
      </c>
      <c r="W100" s="2">
        <f t="shared" ca="1" si="17"/>
        <v>48</v>
      </c>
      <c r="X100" s="2">
        <f t="shared" ca="1" si="18"/>
        <v>4</v>
      </c>
      <c r="Y100" s="2"/>
      <c r="Z100" s="2"/>
      <c r="AA100" s="2" t="str">
        <f t="shared" ca="1" si="27"/>
        <v>OK</v>
      </c>
    </row>
    <row r="101" spans="1:27" x14ac:dyDescent="0.3">
      <c r="A101" s="2" t="s">
        <v>363</v>
      </c>
      <c r="B101" s="2" t="str">
        <f t="shared" si="19"/>
        <v>EMP100</v>
      </c>
      <c r="C101" s="2" t="s">
        <v>11</v>
      </c>
      <c r="D101" s="2" t="str">
        <f t="shared" si="20"/>
        <v>Ravi</v>
      </c>
      <c r="E101" s="2" t="s">
        <v>57</v>
      </c>
      <c r="F101" s="2" t="str">
        <f t="shared" si="21"/>
        <v>HR</v>
      </c>
      <c r="G101" s="6" t="s">
        <v>364</v>
      </c>
      <c r="H101" s="8">
        <f t="shared" si="22"/>
        <v>45064</v>
      </c>
      <c r="I101" s="2" t="s">
        <v>365</v>
      </c>
      <c r="J101" s="3">
        <f t="shared" ca="1" si="23"/>
        <v>45883</v>
      </c>
      <c r="K101" s="2">
        <v>9789752352</v>
      </c>
      <c r="L101" s="2">
        <f t="shared" si="24"/>
        <v>9789752352</v>
      </c>
      <c r="M101" s="2" t="s">
        <v>118</v>
      </c>
      <c r="N101" s="2" t="str">
        <f t="shared" si="25"/>
        <v>rahul@company.com</v>
      </c>
      <c r="O101" s="12">
        <v>71057</v>
      </c>
      <c r="P101" s="2" t="str">
        <f t="shared" si="14"/>
        <v>60K-80K</v>
      </c>
      <c r="Q101" s="2"/>
      <c r="R101" s="2" t="s">
        <v>75</v>
      </c>
      <c r="S101" s="2" t="str">
        <f t="shared" si="15"/>
        <v>M12</v>
      </c>
      <c r="T101" s="2" t="s">
        <v>37</v>
      </c>
      <c r="U101" s="2" t="str">
        <f t="shared" si="26"/>
        <v>ACTIVE</v>
      </c>
      <c r="V101" s="2">
        <f t="shared" ca="1" si="16"/>
        <v>819</v>
      </c>
      <c r="W101" s="2">
        <f t="shared" ca="1" si="17"/>
        <v>26</v>
      </c>
      <c r="X101" s="2">
        <f t="shared" ca="1" si="18"/>
        <v>2</v>
      </c>
      <c r="Y101" s="2"/>
      <c r="Z101" s="2"/>
      <c r="AA101" s="2" t="str">
        <f t="shared" ca="1" si="27"/>
        <v>OK</v>
      </c>
    </row>
    <row r="102" spans="1:27" x14ac:dyDescent="0.3">
      <c r="A102" s="2" t="s">
        <v>366</v>
      </c>
      <c r="B102" s="2" t="str">
        <f t="shared" si="19"/>
        <v>EMP101</v>
      </c>
      <c r="C102" s="2" t="s">
        <v>39</v>
      </c>
      <c r="D102" s="2" t="str">
        <f t="shared" si="20"/>
        <v>Amit</v>
      </c>
      <c r="E102" s="2" t="s">
        <v>129</v>
      </c>
      <c r="F102" s="2" t="str">
        <f t="shared" si="21"/>
        <v>SALES</v>
      </c>
      <c r="G102" s="6" t="s">
        <v>367</v>
      </c>
      <c r="H102" s="8">
        <f t="shared" si="22"/>
        <v>45179</v>
      </c>
      <c r="I102" s="2" t="s">
        <v>368</v>
      </c>
      <c r="J102" s="3">
        <f t="shared" ca="1" si="23"/>
        <v>46381</v>
      </c>
      <c r="K102" s="2">
        <v>9578262930</v>
      </c>
      <c r="L102" s="2">
        <f t="shared" si="24"/>
        <v>9578262930</v>
      </c>
      <c r="M102" s="2" t="s">
        <v>70</v>
      </c>
      <c r="N102" s="2" t="str">
        <f t="shared" si="25"/>
        <v>sunita@company.com</v>
      </c>
      <c r="O102" s="12">
        <v>26598</v>
      </c>
      <c r="P102" s="2" t="str">
        <f t="shared" si="14"/>
        <v>20K-40K</v>
      </c>
      <c r="Q102" s="2"/>
      <c r="R102" s="2" t="s">
        <v>108</v>
      </c>
      <c r="S102" s="2" t="str">
        <f t="shared" si="15"/>
        <v>M10</v>
      </c>
      <c r="T102" s="2" t="s">
        <v>17</v>
      </c>
      <c r="U102" s="2" t="str">
        <f t="shared" si="26"/>
        <v>RESIGNED</v>
      </c>
      <c r="V102" s="2">
        <f t="shared" ca="1" si="16"/>
        <v>1202</v>
      </c>
      <c r="W102" s="2">
        <f t="shared" ca="1" si="17"/>
        <v>39</v>
      </c>
      <c r="X102" s="2">
        <f t="shared" ca="1" si="18"/>
        <v>3</v>
      </c>
      <c r="Y102" s="2"/>
      <c r="Z102" s="2"/>
      <c r="AA102" s="2" t="str">
        <f t="shared" ca="1" si="27"/>
        <v>OK</v>
      </c>
    </row>
    <row r="103" spans="1:27" x14ac:dyDescent="0.3">
      <c r="A103" s="2" t="s">
        <v>369</v>
      </c>
      <c r="B103" s="2" t="str">
        <f t="shared" si="19"/>
        <v>EMP102</v>
      </c>
      <c r="C103" s="2" t="s">
        <v>47</v>
      </c>
      <c r="D103" s="2" t="str">
        <f t="shared" si="20"/>
        <v>Sunita</v>
      </c>
      <c r="E103" s="2" t="s">
        <v>48</v>
      </c>
      <c r="F103" s="2" t="str">
        <f t="shared" si="21"/>
        <v>FINANCE</v>
      </c>
      <c r="G103" s="6" t="s">
        <v>370</v>
      </c>
      <c r="H103" s="8">
        <f t="shared" si="22"/>
        <v>44532</v>
      </c>
      <c r="I103" s="2" t="s">
        <v>371</v>
      </c>
      <c r="J103" s="3">
        <f t="shared" ca="1" si="23"/>
        <v>45801</v>
      </c>
      <c r="K103" s="2">
        <v>9879664305</v>
      </c>
      <c r="L103" s="2">
        <f t="shared" si="24"/>
        <v>9879664305</v>
      </c>
      <c r="M103" s="2" t="s">
        <v>36</v>
      </c>
      <c r="N103" s="2" t="str">
        <f t="shared" si="25"/>
        <v>neha@company.com</v>
      </c>
      <c r="O103" s="12">
        <v>93897</v>
      </c>
      <c r="P103" s="2" t="str">
        <f t="shared" si="14"/>
        <v>Above 80K</v>
      </c>
      <c r="Q103" s="2"/>
      <c r="R103" s="2" t="s">
        <v>127</v>
      </c>
      <c r="S103" s="2" t="str">
        <f t="shared" si="15"/>
        <v>M19</v>
      </c>
      <c r="T103" s="2" t="s">
        <v>31</v>
      </c>
      <c r="U103" s="2" t="str">
        <f t="shared" si="26"/>
        <v>ON HOLD</v>
      </c>
      <c r="V103" s="2">
        <f t="shared" ca="1" si="16"/>
        <v>1269</v>
      </c>
      <c r="W103" s="2">
        <f t="shared" ca="1" si="17"/>
        <v>41</v>
      </c>
      <c r="X103" s="2">
        <f t="shared" ca="1" si="18"/>
        <v>3</v>
      </c>
      <c r="Y103" s="2"/>
      <c r="Z103" s="2"/>
      <c r="AA103" s="2" t="str">
        <f t="shared" ca="1" si="27"/>
        <v>OK</v>
      </c>
    </row>
    <row r="104" spans="1:27" x14ac:dyDescent="0.3">
      <c r="A104" s="2" t="s">
        <v>372</v>
      </c>
      <c r="B104" s="2" t="str">
        <f t="shared" si="19"/>
        <v>EMP103</v>
      </c>
      <c r="C104" s="2" t="s">
        <v>63</v>
      </c>
      <c r="D104" s="2" t="str">
        <f t="shared" si="20"/>
        <v>Pooja</v>
      </c>
      <c r="E104" s="2" t="s">
        <v>33</v>
      </c>
      <c r="F104" s="2" t="str">
        <f t="shared" si="21"/>
        <v>IT</v>
      </c>
      <c r="G104" s="6" t="s">
        <v>373</v>
      </c>
      <c r="H104" s="8">
        <f t="shared" si="22"/>
        <v>44740</v>
      </c>
      <c r="I104" s="2" t="s">
        <v>374</v>
      </c>
      <c r="J104" s="3">
        <f t="shared" ca="1" si="23"/>
        <v>46047</v>
      </c>
      <c r="K104" s="2">
        <v>9771413497</v>
      </c>
      <c r="L104" s="2">
        <f t="shared" si="24"/>
        <v>9771413497</v>
      </c>
      <c r="M104" s="2" t="s">
        <v>22</v>
      </c>
      <c r="N104" s="2" t="str">
        <f t="shared" si="25"/>
        <v>pooja@company.com</v>
      </c>
      <c r="O104" s="12">
        <v>52104</v>
      </c>
      <c r="P104" s="2" t="str">
        <f t="shared" si="14"/>
        <v>40K-60K</v>
      </c>
      <c r="Q104" s="2"/>
      <c r="R104" s="2" t="s">
        <v>205</v>
      </c>
      <c r="S104" s="2" t="str">
        <f t="shared" si="15"/>
        <v>M21</v>
      </c>
      <c r="T104" s="2" t="s">
        <v>37</v>
      </c>
      <c r="U104" s="2" t="str">
        <f t="shared" si="26"/>
        <v>ACTIVE</v>
      </c>
      <c r="V104" s="2">
        <f t="shared" ca="1" si="16"/>
        <v>1307</v>
      </c>
      <c r="W104" s="2">
        <f t="shared" ca="1" si="17"/>
        <v>42</v>
      </c>
      <c r="X104" s="2">
        <f t="shared" ca="1" si="18"/>
        <v>3</v>
      </c>
      <c r="Y104" s="2"/>
      <c r="Z104" s="2"/>
      <c r="AA104" s="2" t="str">
        <f t="shared" ca="1" si="27"/>
        <v>OK</v>
      </c>
    </row>
    <row r="105" spans="1:27" x14ac:dyDescent="0.3">
      <c r="A105" s="2" t="s">
        <v>375</v>
      </c>
      <c r="B105" s="2" t="str">
        <f t="shared" si="19"/>
        <v>EMP104</v>
      </c>
      <c r="C105" s="2" t="s">
        <v>161</v>
      </c>
      <c r="D105" s="2" t="str">
        <f t="shared" si="20"/>
        <v>Kiran</v>
      </c>
      <c r="E105" s="2" t="s">
        <v>12</v>
      </c>
      <c r="F105" s="2" t="str">
        <f t="shared" si="21"/>
        <v>IT</v>
      </c>
      <c r="G105" s="6" t="s">
        <v>376</v>
      </c>
      <c r="H105" s="8">
        <f t="shared" si="22"/>
        <v>43904</v>
      </c>
      <c r="I105" s="2" t="s">
        <v>377</v>
      </c>
      <c r="J105" s="3">
        <f t="shared" ca="1" si="23"/>
        <v>44310</v>
      </c>
      <c r="K105" s="2">
        <v>9301582902</v>
      </c>
      <c r="L105" s="2">
        <f t="shared" si="24"/>
        <v>9301582902</v>
      </c>
      <c r="M105" s="2" t="s">
        <v>209</v>
      </c>
      <c r="N105" s="2" t="str">
        <f t="shared" si="25"/>
        <v>sunita@gmail.com</v>
      </c>
      <c r="O105" s="12">
        <v>82888</v>
      </c>
      <c r="P105" s="2" t="str">
        <f t="shared" si="14"/>
        <v>Above 80K</v>
      </c>
      <c r="Q105" s="2"/>
      <c r="R105" s="2" t="s">
        <v>235</v>
      </c>
      <c r="S105" s="2" t="str">
        <f t="shared" si="15"/>
        <v>M25</v>
      </c>
      <c r="T105" s="2" t="s">
        <v>149</v>
      </c>
      <c r="U105" s="2" t="str">
        <f t="shared" si="26"/>
        <v>ACTIVE</v>
      </c>
      <c r="V105" s="2">
        <f t="shared" ca="1" si="16"/>
        <v>406</v>
      </c>
      <c r="W105" s="2">
        <f t="shared" ca="1" si="17"/>
        <v>13</v>
      </c>
      <c r="X105" s="2">
        <f t="shared" ca="1" si="18"/>
        <v>1</v>
      </c>
      <c r="Y105" s="2"/>
      <c r="Z105" s="2"/>
      <c r="AA105" s="2" t="str">
        <f t="shared" ca="1" si="27"/>
        <v>CHECK</v>
      </c>
    </row>
    <row r="106" spans="1:27" x14ac:dyDescent="0.3">
      <c r="A106" s="2" t="s">
        <v>378</v>
      </c>
      <c r="B106" s="2" t="str">
        <f t="shared" si="19"/>
        <v>EMP105</v>
      </c>
      <c r="C106" s="2" t="s">
        <v>25</v>
      </c>
      <c r="D106" s="2" t="str">
        <f t="shared" si="20"/>
        <v>Ankit</v>
      </c>
      <c r="E106" s="2" t="s">
        <v>57</v>
      </c>
      <c r="F106" s="2" t="str">
        <f t="shared" si="21"/>
        <v>HR</v>
      </c>
      <c r="G106" s="6" t="s">
        <v>379</v>
      </c>
      <c r="H106" s="8">
        <f t="shared" si="22"/>
        <v>44979</v>
      </c>
      <c r="I106" s="2"/>
      <c r="J106" s="3">
        <f t="shared" ca="1" si="23"/>
        <v>46024</v>
      </c>
      <c r="K106" s="2">
        <v>9747584322</v>
      </c>
      <c r="L106" s="2">
        <f t="shared" si="24"/>
        <v>9747584322</v>
      </c>
      <c r="M106" s="2" t="s">
        <v>118</v>
      </c>
      <c r="N106" s="2" t="str">
        <f t="shared" si="25"/>
        <v>rahul@company.com</v>
      </c>
      <c r="O106" s="12">
        <v>55758</v>
      </c>
      <c r="P106" s="2" t="str">
        <f t="shared" si="14"/>
        <v>40K-60K</v>
      </c>
      <c r="Q106" s="2"/>
      <c r="R106" s="2" t="s">
        <v>85</v>
      </c>
      <c r="S106" s="2" t="str">
        <f t="shared" si="15"/>
        <v>M24</v>
      </c>
      <c r="T106" s="2" t="s">
        <v>149</v>
      </c>
      <c r="U106" s="2" t="str">
        <f t="shared" si="26"/>
        <v>ACTIVE</v>
      </c>
      <c r="V106" s="2">
        <f t="shared" ca="1" si="16"/>
        <v>1045</v>
      </c>
      <c r="W106" s="2">
        <f t="shared" ca="1" si="17"/>
        <v>34</v>
      </c>
      <c r="X106" s="2">
        <f t="shared" ca="1" si="18"/>
        <v>2</v>
      </c>
      <c r="Y106" s="2"/>
      <c r="Z106" s="2"/>
      <c r="AA106" s="2" t="str">
        <f t="shared" ca="1" si="27"/>
        <v>OK</v>
      </c>
    </row>
    <row r="107" spans="1:27" x14ac:dyDescent="0.3">
      <c r="A107" s="2" t="s">
        <v>380</v>
      </c>
      <c r="B107" s="2" t="str">
        <f t="shared" si="19"/>
        <v>EMP106</v>
      </c>
      <c r="C107" s="2" t="s">
        <v>11</v>
      </c>
      <c r="D107" s="2" t="str">
        <f t="shared" si="20"/>
        <v>Ravi</v>
      </c>
      <c r="E107" s="2" t="s">
        <v>19</v>
      </c>
      <c r="F107" s="2" t="str">
        <f t="shared" si="21"/>
        <v>FINANCE</v>
      </c>
      <c r="G107" s="6" t="s">
        <v>381</v>
      </c>
      <c r="H107" s="8">
        <f t="shared" si="22"/>
        <v>44477</v>
      </c>
      <c r="I107" s="2" t="s">
        <v>382</v>
      </c>
      <c r="J107" s="3">
        <f t="shared" ca="1" si="23"/>
        <v>45124</v>
      </c>
      <c r="K107" s="2">
        <v>9350953080</v>
      </c>
      <c r="L107" s="2">
        <f t="shared" si="24"/>
        <v>9350953080</v>
      </c>
      <c r="M107" s="2" t="s">
        <v>84</v>
      </c>
      <c r="N107" s="2" t="str">
        <f t="shared" si="25"/>
        <v>ankit@company.com</v>
      </c>
      <c r="O107" s="12">
        <v>49646</v>
      </c>
      <c r="P107" s="2" t="str">
        <f t="shared" si="14"/>
        <v>40K-60K</v>
      </c>
      <c r="Q107" s="2"/>
      <c r="R107" s="2" t="s">
        <v>135</v>
      </c>
      <c r="S107" s="2" t="str">
        <f t="shared" si="15"/>
        <v>M15</v>
      </c>
      <c r="T107" s="2" t="s">
        <v>149</v>
      </c>
      <c r="U107" s="2" t="str">
        <f t="shared" si="26"/>
        <v>ACTIVE</v>
      </c>
      <c r="V107" s="2">
        <f t="shared" ca="1" si="16"/>
        <v>647</v>
      </c>
      <c r="W107" s="2">
        <f t="shared" ca="1" si="17"/>
        <v>21</v>
      </c>
      <c r="X107" s="2">
        <f t="shared" ca="1" si="18"/>
        <v>1</v>
      </c>
      <c r="Y107" s="2"/>
      <c r="Z107" s="2"/>
      <c r="AA107" s="2" t="str">
        <f t="shared" ca="1" si="27"/>
        <v>OK</v>
      </c>
    </row>
    <row r="108" spans="1:27" x14ac:dyDescent="0.3">
      <c r="A108" s="2" t="s">
        <v>383</v>
      </c>
      <c r="B108" s="2" t="str">
        <f t="shared" si="19"/>
        <v>EMP107</v>
      </c>
      <c r="C108" s="2" t="s">
        <v>161</v>
      </c>
      <c r="D108" s="2" t="str">
        <f t="shared" si="20"/>
        <v>Kiran</v>
      </c>
      <c r="E108" s="2" t="s">
        <v>26</v>
      </c>
      <c r="F108" s="2" t="str">
        <f t="shared" si="21"/>
        <v>HR</v>
      </c>
      <c r="G108" s="6" t="s">
        <v>384</v>
      </c>
      <c r="H108" s="8">
        <f t="shared" si="22"/>
        <v>44755</v>
      </c>
      <c r="I108" s="2" t="s">
        <v>385</v>
      </c>
      <c r="J108" s="3">
        <f t="shared" ca="1" si="23"/>
        <v>45588</v>
      </c>
      <c r="K108" s="2">
        <v>9572910705</v>
      </c>
      <c r="L108" s="2">
        <f t="shared" si="24"/>
        <v>9572910705</v>
      </c>
      <c r="M108" s="2" t="s">
        <v>51</v>
      </c>
      <c r="N108" s="2" t="str">
        <f t="shared" si="25"/>
        <v>kiran@company.com</v>
      </c>
      <c r="O108" s="12">
        <v>69437</v>
      </c>
      <c r="P108" s="2" t="str">
        <f t="shared" si="14"/>
        <v>60K-80K</v>
      </c>
      <c r="Q108" s="2"/>
      <c r="R108" s="2" t="s">
        <v>16</v>
      </c>
      <c r="S108" s="2" t="str">
        <f t="shared" si="15"/>
        <v>M4</v>
      </c>
      <c r="T108" s="2" t="s">
        <v>17</v>
      </c>
      <c r="U108" s="2" t="str">
        <f t="shared" si="26"/>
        <v>RESIGNED</v>
      </c>
      <c r="V108" s="2">
        <f t="shared" ca="1" si="16"/>
        <v>833</v>
      </c>
      <c r="W108" s="2">
        <f t="shared" ca="1" si="17"/>
        <v>27</v>
      </c>
      <c r="X108" s="2">
        <f t="shared" ca="1" si="18"/>
        <v>2</v>
      </c>
      <c r="Y108" s="2"/>
      <c r="Z108" s="2"/>
      <c r="AA108" s="2" t="str">
        <f t="shared" ca="1" si="27"/>
        <v>OK</v>
      </c>
    </row>
    <row r="109" spans="1:27" x14ac:dyDescent="0.3">
      <c r="A109" s="2" t="s">
        <v>386</v>
      </c>
      <c r="B109" s="2" t="str">
        <f t="shared" si="19"/>
        <v>EMP108</v>
      </c>
      <c r="C109" s="2" t="s">
        <v>115</v>
      </c>
      <c r="D109" s="2" t="str">
        <f t="shared" si="20"/>
        <v>Rahul</v>
      </c>
      <c r="E109" s="2" t="s">
        <v>57</v>
      </c>
      <c r="F109" s="2" t="str">
        <f t="shared" si="21"/>
        <v>HR</v>
      </c>
      <c r="G109" s="6" t="s">
        <v>387</v>
      </c>
      <c r="H109" s="8">
        <f t="shared" si="22"/>
        <v>43770</v>
      </c>
      <c r="I109" s="2" t="s">
        <v>388</v>
      </c>
      <c r="J109" s="3">
        <f t="shared" ca="1" si="23"/>
        <v>44549</v>
      </c>
      <c r="K109" s="2">
        <v>9174155927</v>
      </c>
      <c r="L109" s="2">
        <f t="shared" si="24"/>
        <v>9174155927</v>
      </c>
      <c r="M109" s="2" t="s">
        <v>70</v>
      </c>
      <c r="N109" s="2" t="str">
        <f t="shared" si="25"/>
        <v>sunita@company.com</v>
      </c>
      <c r="O109" s="12">
        <v>86549</v>
      </c>
      <c r="P109" s="2" t="str">
        <f t="shared" si="14"/>
        <v>Above 80K</v>
      </c>
      <c r="Q109" s="2"/>
      <c r="R109" s="2" t="s">
        <v>170</v>
      </c>
      <c r="S109" s="2" t="str">
        <f t="shared" si="15"/>
        <v>M16</v>
      </c>
      <c r="T109" s="2" t="s">
        <v>149</v>
      </c>
      <c r="U109" s="2" t="str">
        <f t="shared" si="26"/>
        <v>ACTIVE</v>
      </c>
      <c r="V109" s="2">
        <f t="shared" ca="1" si="16"/>
        <v>779</v>
      </c>
      <c r="W109" s="2">
        <f t="shared" ca="1" si="17"/>
        <v>25</v>
      </c>
      <c r="X109" s="2">
        <f t="shared" ca="1" si="18"/>
        <v>2</v>
      </c>
      <c r="Y109" s="2"/>
      <c r="Z109" s="2"/>
      <c r="AA109" s="2" t="str">
        <f t="shared" ca="1" si="27"/>
        <v>OK</v>
      </c>
    </row>
    <row r="110" spans="1:27" x14ac:dyDescent="0.3">
      <c r="A110" s="2" t="s">
        <v>389</v>
      </c>
      <c r="B110" s="2" t="str">
        <f t="shared" si="19"/>
        <v>EMP109</v>
      </c>
      <c r="C110" s="2" t="s">
        <v>96</v>
      </c>
      <c r="D110" s="2" t="str">
        <f t="shared" si="20"/>
        <v>Neha</v>
      </c>
      <c r="E110" s="2" t="s">
        <v>48</v>
      </c>
      <c r="F110" s="2" t="str">
        <f t="shared" si="21"/>
        <v>FINANCE</v>
      </c>
      <c r="G110" s="6" t="s">
        <v>390</v>
      </c>
      <c r="H110" s="8">
        <f t="shared" si="22"/>
        <v>44319</v>
      </c>
      <c r="I110" s="2" t="s">
        <v>391</v>
      </c>
      <c r="J110" s="3">
        <f t="shared" ca="1" si="23"/>
        <v>44980</v>
      </c>
      <c r="K110" s="2">
        <v>9565128712</v>
      </c>
      <c r="L110" s="2">
        <f t="shared" si="24"/>
        <v>9565128712</v>
      </c>
      <c r="M110" s="2" t="s">
        <v>84</v>
      </c>
      <c r="N110" s="2" t="str">
        <f t="shared" si="25"/>
        <v>ankit@company.com</v>
      </c>
      <c r="O110" s="12">
        <v>74598</v>
      </c>
      <c r="P110" s="2" t="str">
        <f t="shared" si="14"/>
        <v>60K-80K</v>
      </c>
      <c r="Q110" s="2"/>
      <c r="R110" s="2" t="s">
        <v>61</v>
      </c>
      <c r="S110" s="2" t="str">
        <f t="shared" si="15"/>
        <v>M13</v>
      </c>
      <c r="T110" s="2" t="s">
        <v>31</v>
      </c>
      <c r="U110" s="2" t="str">
        <f t="shared" si="26"/>
        <v>ON HOLD</v>
      </c>
      <c r="V110" s="2">
        <f t="shared" ca="1" si="16"/>
        <v>661</v>
      </c>
      <c r="W110" s="2">
        <f t="shared" ca="1" si="17"/>
        <v>21</v>
      </c>
      <c r="X110" s="2">
        <f t="shared" ca="1" si="18"/>
        <v>1</v>
      </c>
      <c r="Y110" s="2"/>
      <c r="Z110" s="2"/>
      <c r="AA110" s="2" t="str">
        <f t="shared" ca="1" si="27"/>
        <v>OK</v>
      </c>
    </row>
    <row r="111" spans="1:27" x14ac:dyDescent="0.3">
      <c r="A111" s="2" t="s">
        <v>392</v>
      </c>
      <c r="B111" s="2" t="str">
        <f t="shared" si="19"/>
        <v>EMP110</v>
      </c>
      <c r="C111" s="2" t="s">
        <v>47</v>
      </c>
      <c r="D111" s="2" t="str">
        <f t="shared" si="20"/>
        <v>Sunita</v>
      </c>
      <c r="E111" s="2" t="s">
        <v>19</v>
      </c>
      <c r="F111" s="2" t="str">
        <f t="shared" si="21"/>
        <v>FINANCE</v>
      </c>
      <c r="G111" s="6" t="s">
        <v>393</v>
      </c>
      <c r="H111" s="8">
        <f t="shared" si="22"/>
        <v>44672</v>
      </c>
      <c r="I111" s="2" t="s">
        <v>394</v>
      </c>
      <c r="J111" s="3">
        <f t="shared" ca="1" si="23"/>
        <v>45095</v>
      </c>
      <c r="K111" s="2">
        <v>9910851763</v>
      </c>
      <c r="L111" s="2">
        <f t="shared" si="24"/>
        <v>9910851763</v>
      </c>
      <c r="M111" s="2" t="s">
        <v>84</v>
      </c>
      <c r="N111" s="2" t="str">
        <f t="shared" si="25"/>
        <v>ankit@company.com</v>
      </c>
      <c r="O111" s="12">
        <v>85230</v>
      </c>
      <c r="P111" s="2" t="str">
        <f t="shared" si="14"/>
        <v>Above 80K</v>
      </c>
      <c r="Q111" s="2"/>
      <c r="R111" s="2" t="s">
        <v>341</v>
      </c>
      <c r="S111" s="2" t="str">
        <f t="shared" si="15"/>
        <v>M22</v>
      </c>
      <c r="T111" s="2" t="s">
        <v>45</v>
      </c>
      <c r="U111" s="2" t="str">
        <f t="shared" si="26"/>
        <v>RESIGNED</v>
      </c>
      <c r="V111" s="2">
        <f t="shared" ca="1" si="16"/>
        <v>423</v>
      </c>
      <c r="W111" s="2">
        <f t="shared" ca="1" si="17"/>
        <v>13</v>
      </c>
      <c r="X111" s="2">
        <f t="shared" ca="1" si="18"/>
        <v>1</v>
      </c>
      <c r="Y111" s="2"/>
      <c r="Z111" s="2"/>
      <c r="AA111" s="2" t="str">
        <f t="shared" ca="1" si="27"/>
        <v>CHECK</v>
      </c>
    </row>
    <row r="112" spans="1:27" x14ac:dyDescent="0.3">
      <c r="A112" s="2" t="s">
        <v>395</v>
      </c>
      <c r="B112" s="2" t="str">
        <f t="shared" si="19"/>
        <v>EMP111</v>
      </c>
      <c r="C112" s="2" t="s">
        <v>63</v>
      </c>
      <c r="D112" s="2" t="str">
        <f t="shared" si="20"/>
        <v>Pooja</v>
      </c>
      <c r="E112" s="2" t="s">
        <v>33</v>
      </c>
      <c r="F112" s="2" t="str">
        <f t="shared" si="21"/>
        <v>IT</v>
      </c>
      <c r="G112" s="6" t="s">
        <v>396</v>
      </c>
      <c r="H112" s="8">
        <f t="shared" si="22"/>
        <v>43913</v>
      </c>
      <c r="I112" s="2" t="s">
        <v>397</v>
      </c>
      <c r="J112" s="3">
        <f t="shared" ca="1" si="23"/>
        <v>45103</v>
      </c>
      <c r="K112" s="2">
        <v>9991067028</v>
      </c>
      <c r="L112" s="2">
        <f t="shared" si="24"/>
        <v>9991067028</v>
      </c>
      <c r="M112" s="2" t="s">
        <v>22</v>
      </c>
      <c r="N112" s="2" t="str">
        <f t="shared" si="25"/>
        <v>pooja@company.com</v>
      </c>
      <c r="O112" s="12">
        <v>71035</v>
      </c>
      <c r="P112" s="2" t="str">
        <f t="shared" si="14"/>
        <v>60K-80K</v>
      </c>
      <c r="Q112" s="2"/>
      <c r="R112" s="2" t="s">
        <v>44</v>
      </c>
      <c r="S112" s="2" t="str">
        <f t="shared" si="15"/>
        <v>M9</v>
      </c>
      <c r="T112" s="2" t="s">
        <v>149</v>
      </c>
      <c r="U112" s="2" t="str">
        <f t="shared" si="26"/>
        <v>ACTIVE</v>
      </c>
      <c r="V112" s="2">
        <f t="shared" ca="1" si="16"/>
        <v>1190</v>
      </c>
      <c r="W112" s="2">
        <f t="shared" ca="1" si="17"/>
        <v>39</v>
      </c>
      <c r="X112" s="2">
        <f t="shared" ca="1" si="18"/>
        <v>3</v>
      </c>
      <c r="Y112" s="2"/>
      <c r="Z112" s="2"/>
      <c r="AA112" s="2" t="str">
        <f t="shared" ca="1" si="27"/>
        <v>OK</v>
      </c>
    </row>
    <row r="113" spans="1:27" x14ac:dyDescent="0.3">
      <c r="A113" s="2" t="s">
        <v>398</v>
      </c>
      <c r="B113" s="2" t="str">
        <f t="shared" si="19"/>
        <v>EMP112</v>
      </c>
      <c r="C113" s="2" t="s">
        <v>96</v>
      </c>
      <c r="D113" s="2" t="str">
        <f t="shared" si="20"/>
        <v>Neha</v>
      </c>
      <c r="E113" s="2" t="s">
        <v>19</v>
      </c>
      <c r="F113" s="2" t="str">
        <f t="shared" si="21"/>
        <v>FINANCE</v>
      </c>
      <c r="G113" s="6" t="s">
        <v>399</v>
      </c>
      <c r="H113" s="8">
        <f t="shared" si="22"/>
        <v>44534</v>
      </c>
      <c r="I113" s="2"/>
      <c r="J113" s="3">
        <f t="shared" ca="1" si="23"/>
        <v>46024</v>
      </c>
      <c r="K113" s="2">
        <v>9573704782</v>
      </c>
      <c r="L113" s="2">
        <f t="shared" si="24"/>
        <v>9573704782</v>
      </c>
      <c r="M113" s="2" t="s">
        <v>400</v>
      </c>
      <c r="N113" s="2" t="str">
        <f t="shared" si="25"/>
        <v>kiran@gmail.com</v>
      </c>
      <c r="O113" s="12">
        <v>62508</v>
      </c>
      <c r="P113" s="2" t="str">
        <f t="shared" si="14"/>
        <v>60K-80K</v>
      </c>
      <c r="Q113" s="2"/>
      <c r="R113" s="2" t="s">
        <v>358</v>
      </c>
      <c r="S113" s="2" t="str">
        <f t="shared" si="15"/>
        <v>M1</v>
      </c>
      <c r="T113" s="2" t="s">
        <v>45</v>
      </c>
      <c r="U113" s="2" t="str">
        <f t="shared" si="26"/>
        <v>RESIGNED</v>
      </c>
      <c r="V113" s="2">
        <f t="shared" ca="1" si="16"/>
        <v>1490</v>
      </c>
      <c r="W113" s="2">
        <f t="shared" ca="1" si="17"/>
        <v>48</v>
      </c>
      <c r="X113" s="2">
        <f t="shared" ca="1" si="18"/>
        <v>4</v>
      </c>
      <c r="Y113" s="2"/>
      <c r="Z113" s="2"/>
      <c r="AA113" s="2" t="str">
        <f t="shared" ca="1" si="27"/>
        <v>OK</v>
      </c>
    </row>
    <row r="114" spans="1:27" x14ac:dyDescent="0.3">
      <c r="A114" s="2" t="s">
        <v>401</v>
      </c>
      <c r="B114" s="2" t="str">
        <f t="shared" si="19"/>
        <v>EMP113</v>
      </c>
      <c r="C114" s="2" t="s">
        <v>11</v>
      </c>
      <c r="D114" s="2" t="str">
        <f t="shared" si="20"/>
        <v>Ravi</v>
      </c>
      <c r="E114" s="2" t="s">
        <v>40</v>
      </c>
      <c r="F114" s="2" t="str">
        <f t="shared" si="21"/>
        <v>SALES</v>
      </c>
      <c r="G114" s="6" t="s">
        <v>402</v>
      </c>
      <c r="H114" s="8">
        <f t="shared" si="22"/>
        <v>43749</v>
      </c>
      <c r="I114" s="2" t="s">
        <v>403</v>
      </c>
      <c r="J114" s="3">
        <f t="shared" ca="1" si="23"/>
        <v>44415</v>
      </c>
      <c r="K114" s="2">
        <v>9134957314</v>
      </c>
      <c r="L114" s="2">
        <f t="shared" si="24"/>
        <v>9134957314</v>
      </c>
      <c r="M114" s="2" t="s">
        <v>51</v>
      </c>
      <c r="N114" s="2" t="str">
        <f t="shared" si="25"/>
        <v>kiran@company.com</v>
      </c>
      <c r="O114" s="12">
        <v>61516</v>
      </c>
      <c r="P114" s="2" t="str">
        <f t="shared" si="14"/>
        <v>60K-80K</v>
      </c>
      <c r="Q114" s="2"/>
      <c r="R114" s="2" t="s">
        <v>341</v>
      </c>
      <c r="S114" s="2" t="str">
        <f t="shared" si="15"/>
        <v>M22</v>
      </c>
      <c r="T114" s="2" t="s">
        <v>31</v>
      </c>
      <c r="U114" s="2" t="str">
        <f t="shared" si="26"/>
        <v>ON HOLD</v>
      </c>
      <c r="V114" s="2">
        <f t="shared" ca="1" si="16"/>
        <v>666</v>
      </c>
      <c r="W114" s="2">
        <f t="shared" ca="1" si="17"/>
        <v>21</v>
      </c>
      <c r="X114" s="2">
        <f t="shared" ca="1" si="18"/>
        <v>1</v>
      </c>
      <c r="Y114" s="2"/>
      <c r="Z114" s="2"/>
      <c r="AA114" s="2" t="str">
        <f t="shared" ca="1" si="27"/>
        <v>OK</v>
      </c>
    </row>
    <row r="115" spans="1:27" x14ac:dyDescent="0.3">
      <c r="A115" s="2" t="s">
        <v>404</v>
      </c>
      <c r="B115" s="2" t="str">
        <f t="shared" si="19"/>
        <v>EMP114</v>
      </c>
      <c r="C115" s="2" t="s">
        <v>63</v>
      </c>
      <c r="D115" s="2" t="str">
        <f t="shared" si="20"/>
        <v>Pooja</v>
      </c>
      <c r="E115" s="2" t="s">
        <v>48</v>
      </c>
      <c r="F115" s="2" t="str">
        <f t="shared" si="21"/>
        <v>FINANCE</v>
      </c>
      <c r="G115" s="6" t="s">
        <v>405</v>
      </c>
      <c r="H115" s="8">
        <f t="shared" si="22"/>
        <v>43588</v>
      </c>
      <c r="I115" s="2" t="s">
        <v>406</v>
      </c>
      <c r="J115" s="3">
        <f t="shared" ca="1" si="23"/>
        <v>44163</v>
      </c>
      <c r="K115" s="2">
        <v>9109308485</v>
      </c>
      <c r="L115" s="2">
        <f t="shared" si="24"/>
        <v>9109308485</v>
      </c>
      <c r="M115" s="2" t="s">
        <v>15</v>
      </c>
      <c r="N115" s="2" t="str">
        <f t="shared" si="25"/>
        <v>amit@company.com</v>
      </c>
      <c r="O115" s="12">
        <v>70616</v>
      </c>
      <c r="P115" s="2" t="str">
        <f t="shared" si="14"/>
        <v>60K-80K</v>
      </c>
      <c r="Q115" s="2"/>
      <c r="R115" s="2" t="s">
        <v>358</v>
      </c>
      <c r="S115" s="2" t="str">
        <f t="shared" si="15"/>
        <v>M1</v>
      </c>
      <c r="T115" s="2" t="s">
        <v>31</v>
      </c>
      <c r="U115" s="2" t="str">
        <f t="shared" si="26"/>
        <v>ON HOLD</v>
      </c>
      <c r="V115" s="2">
        <f t="shared" ca="1" si="16"/>
        <v>575</v>
      </c>
      <c r="W115" s="2">
        <f t="shared" ca="1" si="17"/>
        <v>18</v>
      </c>
      <c r="X115" s="2">
        <f t="shared" ca="1" si="18"/>
        <v>1</v>
      </c>
      <c r="Y115" s="2"/>
      <c r="Z115" s="2"/>
      <c r="AA115" s="2" t="str">
        <f t="shared" ca="1" si="27"/>
        <v>OK</v>
      </c>
    </row>
    <row r="116" spans="1:27" x14ac:dyDescent="0.3">
      <c r="A116" s="2" t="s">
        <v>407</v>
      </c>
      <c r="B116" s="2" t="str">
        <f t="shared" si="19"/>
        <v>EMP115</v>
      </c>
      <c r="C116" s="2" t="s">
        <v>63</v>
      </c>
      <c r="D116" s="2" t="str">
        <f t="shared" si="20"/>
        <v>Pooja</v>
      </c>
      <c r="E116" s="2" t="s">
        <v>26</v>
      </c>
      <c r="F116" s="2" t="str">
        <f t="shared" si="21"/>
        <v>HR</v>
      </c>
      <c r="G116" s="6" t="s">
        <v>408</v>
      </c>
      <c r="H116" s="8">
        <f t="shared" si="22"/>
        <v>43697</v>
      </c>
      <c r="I116" s="2" t="s">
        <v>409</v>
      </c>
      <c r="J116" s="3">
        <f t="shared" ca="1" si="23"/>
        <v>43956</v>
      </c>
      <c r="K116" s="2">
        <v>9362757463</v>
      </c>
      <c r="L116" s="2">
        <f t="shared" si="24"/>
        <v>9362757463</v>
      </c>
      <c r="M116" s="2" t="s">
        <v>70</v>
      </c>
      <c r="N116" s="2" t="str">
        <f t="shared" si="25"/>
        <v>sunita@company.com</v>
      </c>
      <c r="O116" s="12">
        <v>55848</v>
      </c>
      <c r="P116" s="2" t="str">
        <f t="shared" si="14"/>
        <v>40K-60K</v>
      </c>
      <c r="Q116" s="2"/>
      <c r="R116" s="2" t="s">
        <v>71</v>
      </c>
      <c r="S116" s="2" t="str">
        <f t="shared" si="15"/>
        <v>M14</v>
      </c>
      <c r="T116" s="2" t="s">
        <v>149</v>
      </c>
      <c r="U116" s="2" t="str">
        <f t="shared" si="26"/>
        <v>ACTIVE</v>
      </c>
      <c r="V116" s="2">
        <f t="shared" ca="1" si="16"/>
        <v>259</v>
      </c>
      <c r="W116" s="2">
        <f t="shared" ca="1" si="17"/>
        <v>8</v>
      </c>
      <c r="X116" s="2">
        <f t="shared" ca="1" si="18"/>
        <v>0</v>
      </c>
      <c r="Y116" s="2"/>
      <c r="Z116" s="2"/>
      <c r="AA116" s="2" t="str">
        <f t="shared" ca="1" si="27"/>
        <v>OK</v>
      </c>
    </row>
    <row r="117" spans="1:27" x14ac:dyDescent="0.3">
      <c r="A117" s="2" t="s">
        <v>410</v>
      </c>
      <c r="B117" s="2" t="str">
        <f t="shared" si="19"/>
        <v>EMP116</v>
      </c>
      <c r="C117" s="2" t="s">
        <v>81</v>
      </c>
      <c r="D117" s="2" t="str">
        <f t="shared" si="20"/>
        <v>Suresh</v>
      </c>
      <c r="E117" s="2" t="s">
        <v>19</v>
      </c>
      <c r="F117" s="2" t="str">
        <f t="shared" si="21"/>
        <v>FINANCE</v>
      </c>
      <c r="G117" s="6" t="s">
        <v>274</v>
      </c>
      <c r="H117" s="8">
        <f t="shared" si="22"/>
        <v>44061</v>
      </c>
      <c r="I117" s="2" t="s">
        <v>411</v>
      </c>
      <c r="J117" s="3">
        <f t="shared" ca="1" si="23"/>
        <v>44739</v>
      </c>
      <c r="K117" s="2">
        <v>9899902911</v>
      </c>
      <c r="L117" s="2">
        <f t="shared" si="24"/>
        <v>9899902911</v>
      </c>
      <c r="M117" s="2" t="s">
        <v>29</v>
      </c>
      <c r="N117" s="2" t="str">
        <f t="shared" si="25"/>
        <v>suresh@company.com</v>
      </c>
      <c r="O117" s="12">
        <v>22040</v>
      </c>
      <c r="P117" s="2" t="str">
        <f t="shared" si="14"/>
        <v>20K-40K</v>
      </c>
      <c r="Q117" s="2"/>
      <c r="R117" s="2" t="s">
        <v>358</v>
      </c>
      <c r="S117" s="2" t="str">
        <f t="shared" si="15"/>
        <v>M1</v>
      </c>
      <c r="T117" s="2" t="s">
        <v>37</v>
      </c>
      <c r="U117" s="2" t="str">
        <f t="shared" si="26"/>
        <v>ACTIVE</v>
      </c>
      <c r="V117" s="2">
        <f t="shared" ca="1" si="16"/>
        <v>678</v>
      </c>
      <c r="W117" s="2">
        <f t="shared" ca="1" si="17"/>
        <v>22</v>
      </c>
      <c r="X117" s="2">
        <f t="shared" ca="1" si="18"/>
        <v>1</v>
      </c>
      <c r="Y117" s="2"/>
      <c r="Z117" s="2"/>
      <c r="AA117" s="2" t="str">
        <f t="shared" ca="1" si="27"/>
        <v>OK</v>
      </c>
    </row>
    <row r="118" spans="1:27" x14ac:dyDescent="0.3">
      <c r="A118" s="2" t="s">
        <v>412</v>
      </c>
      <c r="B118" s="2" t="str">
        <f t="shared" si="19"/>
        <v>EMP117</v>
      </c>
      <c r="C118" s="2" t="s">
        <v>104</v>
      </c>
      <c r="D118" s="2" t="str">
        <f t="shared" si="20"/>
        <v>Vikas</v>
      </c>
      <c r="E118" s="2" t="s">
        <v>129</v>
      </c>
      <c r="F118" s="2" t="str">
        <f t="shared" si="21"/>
        <v>SALES</v>
      </c>
      <c r="G118" s="6" t="s">
        <v>413</v>
      </c>
      <c r="H118" s="8">
        <f t="shared" si="22"/>
        <v>44565</v>
      </c>
      <c r="I118" s="2" t="s">
        <v>414</v>
      </c>
      <c r="J118" s="3">
        <f t="shared" ca="1" si="23"/>
        <v>45713</v>
      </c>
      <c r="K118" s="2">
        <v>9911403067</v>
      </c>
      <c r="L118" s="2">
        <f t="shared" si="24"/>
        <v>9911403067</v>
      </c>
      <c r="M118" s="2" t="s">
        <v>118</v>
      </c>
      <c r="N118" s="2" t="str">
        <f t="shared" si="25"/>
        <v>rahul@company.com</v>
      </c>
      <c r="O118" s="12">
        <v>43259</v>
      </c>
      <c r="P118" s="2" t="str">
        <f t="shared" si="14"/>
        <v>40K-60K</v>
      </c>
      <c r="Q118" s="2"/>
      <c r="R118" s="2" t="s">
        <v>228</v>
      </c>
      <c r="S118" s="2" t="str">
        <f t="shared" si="15"/>
        <v>M15</v>
      </c>
      <c r="T118" s="2" t="s">
        <v>31</v>
      </c>
      <c r="U118" s="2" t="str">
        <f t="shared" si="26"/>
        <v>ON HOLD</v>
      </c>
      <c r="V118" s="2">
        <f t="shared" ca="1" si="16"/>
        <v>1148</v>
      </c>
      <c r="W118" s="2">
        <f t="shared" ca="1" si="17"/>
        <v>37</v>
      </c>
      <c r="X118" s="2">
        <f t="shared" ca="1" si="18"/>
        <v>3</v>
      </c>
      <c r="Y118" s="2"/>
      <c r="Z118" s="2"/>
      <c r="AA118" s="2" t="str">
        <f t="shared" ca="1" si="27"/>
        <v>OK</v>
      </c>
    </row>
    <row r="119" spans="1:27" x14ac:dyDescent="0.3">
      <c r="A119" s="2" t="s">
        <v>415</v>
      </c>
      <c r="B119" s="2" t="str">
        <f t="shared" si="19"/>
        <v>EMP118</v>
      </c>
      <c r="C119" s="2" t="s">
        <v>96</v>
      </c>
      <c r="D119" s="2" t="str">
        <f t="shared" si="20"/>
        <v>Neha</v>
      </c>
      <c r="E119" s="2" t="s">
        <v>129</v>
      </c>
      <c r="F119" s="2" t="str">
        <f t="shared" si="21"/>
        <v>SALES</v>
      </c>
      <c r="G119" s="6" t="s">
        <v>416</v>
      </c>
      <c r="H119" s="8">
        <f t="shared" si="22"/>
        <v>43940</v>
      </c>
      <c r="I119" s="2" t="s">
        <v>417</v>
      </c>
      <c r="J119" s="3">
        <f t="shared" ca="1" si="23"/>
        <v>44529</v>
      </c>
      <c r="K119" s="2">
        <v>9365323178</v>
      </c>
      <c r="L119" s="2">
        <f t="shared" si="24"/>
        <v>9365323178</v>
      </c>
      <c r="M119" s="2" t="s">
        <v>36</v>
      </c>
      <c r="N119" s="2" t="str">
        <f t="shared" si="25"/>
        <v>neha@company.com</v>
      </c>
      <c r="O119" s="12">
        <v>30289</v>
      </c>
      <c r="P119" s="2" t="str">
        <f t="shared" si="14"/>
        <v>20K-40K</v>
      </c>
      <c r="Q119" s="2"/>
      <c r="R119" s="2" t="s">
        <v>79</v>
      </c>
      <c r="S119" s="2" t="str">
        <f t="shared" si="15"/>
        <v>M20</v>
      </c>
      <c r="T119" s="2" t="s">
        <v>31</v>
      </c>
      <c r="U119" s="2" t="str">
        <f t="shared" si="26"/>
        <v>ON HOLD</v>
      </c>
      <c r="V119" s="2">
        <f t="shared" ca="1" si="16"/>
        <v>589</v>
      </c>
      <c r="W119" s="2">
        <f t="shared" ca="1" si="17"/>
        <v>19</v>
      </c>
      <c r="X119" s="2">
        <f t="shared" ca="1" si="18"/>
        <v>1</v>
      </c>
      <c r="Y119" s="2"/>
      <c r="Z119" s="2"/>
      <c r="AA119" s="2" t="str">
        <f t="shared" ca="1" si="27"/>
        <v>OK</v>
      </c>
    </row>
    <row r="120" spans="1:27" x14ac:dyDescent="0.3">
      <c r="A120" s="2" t="s">
        <v>418</v>
      </c>
      <c r="B120" s="2" t="str">
        <f t="shared" si="19"/>
        <v>EMP119</v>
      </c>
      <c r="C120" s="2" t="s">
        <v>47</v>
      </c>
      <c r="D120" s="2" t="str">
        <f t="shared" si="20"/>
        <v>Sunita</v>
      </c>
      <c r="E120" s="2" t="s">
        <v>40</v>
      </c>
      <c r="F120" s="2" t="str">
        <f t="shared" si="21"/>
        <v>SALES</v>
      </c>
      <c r="G120" s="6" t="s">
        <v>419</v>
      </c>
      <c r="H120" s="8">
        <f t="shared" si="22"/>
        <v>44697</v>
      </c>
      <c r="I120" s="2"/>
      <c r="J120" s="3">
        <f t="shared" ca="1" si="23"/>
        <v>46024</v>
      </c>
      <c r="K120" s="2">
        <v>9837136189</v>
      </c>
      <c r="L120" s="2">
        <f t="shared" si="24"/>
        <v>9837136189</v>
      </c>
      <c r="M120" s="2" t="s">
        <v>22</v>
      </c>
      <c r="N120" s="2" t="str">
        <f t="shared" si="25"/>
        <v>pooja@company.com</v>
      </c>
      <c r="O120" s="12">
        <v>81472</v>
      </c>
      <c r="P120" s="2" t="str">
        <f t="shared" si="14"/>
        <v>Above 80K</v>
      </c>
      <c r="Q120" s="2"/>
      <c r="R120" s="2" t="s">
        <v>16</v>
      </c>
      <c r="S120" s="2" t="str">
        <f t="shared" si="15"/>
        <v>M4</v>
      </c>
      <c r="T120" s="2" t="s">
        <v>37</v>
      </c>
      <c r="U120" s="2" t="str">
        <f t="shared" si="26"/>
        <v>ACTIVE</v>
      </c>
      <c r="V120" s="2">
        <f t="shared" ca="1" si="16"/>
        <v>1327</v>
      </c>
      <c r="W120" s="2">
        <f t="shared" ca="1" si="17"/>
        <v>43</v>
      </c>
      <c r="X120" s="2">
        <f t="shared" ca="1" si="18"/>
        <v>3</v>
      </c>
      <c r="Y120" s="2"/>
      <c r="Z120" s="2"/>
      <c r="AA120" s="2" t="str">
        <f t="shared" ca="1" si="27"/>
        <v>OK</v>
      </c>
    </row>
    <row r="121" spans="1:27" x14ac:dyDescent="0.3">
      <c r="A121" s="2" t="s">
        <v>420</v>
      </c>
      <c r="B121" s="2" t="str">
        <f t="shared" si="19"/>
        <v>EMP120</v>
      </c>
      <c r="C121" s="2" t="s">
        <v>25</v>
      </c>
      <c r="D121" s="2" t="str">
        <f t="shared" si="20"/>
        <v>Ankit</v>
      </c>
      <c r="E121" s="2" t="s">
        <v>129</v>
      </c>
      <c r="F121" s="2" t="str">
        <f t="shared" si="21"/>
        <v>SALES</v>
      </c>
      <c r="G121" s="6" t="s">
        <v>421</v>
      </c>
      <c r="H121" s="8">
        <f t="shared" si="22"/>
        <v>44783</v>
      </c>
      <c r="I121" s="2" t="s">
        <v>422</v>
      </c>
      <c r="J121" s="3">
        <f t="shared" ca="1" si="23"/>
        <v>46135</v>
      </c>
      <c r="K121" s="2">
        <v>9722352802</v>
      </c>
      <c r="L121" s="2">
        <f t="shared" si="24"/>
        <v>9722352802</v>
      </c>
      <c r="M121" s="2" t="s">
        <v>283</v>
      </c>
      <c r="N121" s="2" t="str">
        <f t="shared" si="25"/>
        <v>ravi@gmail.com</v>
      </c>
      <c r="O121" s="12">
        <v>75697</v>
      </c>
      <c r="P121" s="2" t="str">
        <f t="shared" si="14"/>
        <v>60K-80K</v>
      </c>
      <c r="Q121" s="2"/>
      <c r="R121" s="2" t="s">
        <v>156</v>
      </c>
      <c r="S121" s="2" t="str">
        <f t="shared" si="15"/>
        <v>M6</v>
      </c>
      <c r="T121" s="2" t="s">
        <v>17</v>
      </c>
      <c r="U121" s="2" t="str">
        <f t="shared" si="26"/>
        <v>RESIGNED</v>
      </c>
      <c r="V121" s="2">
        <f t="shared" ca="1" si="16"/>
        <v>1352</v>
      </c>
      <c r="W121" s="2">
        <f t="shared" ca="1" si="17"/>
        <v>44</v>
      </c>
      <c r="X121" s="2">
        <f t="shared" ca="1" si="18"/>
        <v>3</v>
      </c>
      <c r="Y121" s="2"/>
      <c r="Z121" s="2"/>
      <c r="AA121" s="2" t="str">
        <f t="shared" ca="1" si="27"/>
        <v>OK</v>
      </c>
    </row>
    <row r="122" spans="1:27" x14ac:dyDescent="0.3">
      <c r="A122" s="2" t="s">
        <v>423</v>
      </c>
      <c r="B122" s="2" t="str">
        <f t="shared" si="19"/>
        <v>EMP121</v>
      </c>
      <c r="C122" s="2" t="s">
        <v>104</v>
      </c>
      <c r="D122" s="2" t="str">
        <f t="shared" si="20"/>
        <v>Vikas</v>
      </c>
      <c r="E122" s="2" t="s">
        <v>129</v>
      </c>
      <c r="F122" s="2" t="str">
        <f t="shared" si="21"/>
        <v>SALES</v>
      </c>
      <c r="G122" s="6" t="s">
        <v>424</v>
      </c>
      <c r="H122" s="8">
        <f t="shared" si="22"/>
        <v>43529</v>
      </c>
      <c r="I122" s="2" t="s">
        <v>425</v>
      </c>
      <c r="J122" s="3">
        <f t="shared" ca="1" si="23"/>
        <v>44011</v>
      </c>
      <c r="K122" s="2">
        <v>9890543949</v>
      </c>
      <c r="L122" s="2">
        <f t="shared" si="24"/>
        <v>9890543949</v>
      </c>
      <c r="M122" s="2" t="s">
        <v>22</v>
      </c>
      <c r="N122" s="2" t="str">
        <f t="shared" si="25"/>
        <v>pooja@company.com</v>
      </c>
      <c r="O122" s="12">
        <v>29219</v>
      </c>
      <c r="P122" s="2" t="str">
        <f t="shared" si="14"/>
        <v>20K-40K</v>
      </c>
      <c r="Q122" s="2"/>
      <c r="R122" s="2" t="s">
        <v>108</v>
      </c>
      <c r="S122" s="2" t="str">
        <f t="shared" si="15"/>
        <v>M10</v>
      </c>
      <c r="T122" s="2" t="s">
        <v>45</v>
      </c>
      <c r="U122" s="2" t="str">
        <f t="shared" si="26"/>
        <v>RESIGNED</v>
      </c>
      <c r="V122" s="2">
        <f t="shared" ca="1" si="16"/>
        <v>482</v>
      </c>
      <c r="W122" s="2">
        <f t="shared" ca="1" si="17"/>
        <v>15</v>
      </c>
      <c r="X122" s="2">
        <f t="shared" ca="1" si="18"/>
        <v>1</v>
      </c>
      <c r="Y122" s="2"/>
      <c r="Z122" s="2"/>
      <c r="AA122" s="2" t="str">
        <f t="shared" ca="1" si="27"/>
        <v>OK</v>
      </c>
    </row>
    <row r="123" spans="1:27" x14ac:dyDescent="0.3">
      <c r="A123" s="2" t="s">
        <v>426</v>
      </c>
      <c r="B123" s="2" t="str">
        <f t="shared" si="19"/>
        <v>EMP122</v>
      </c>
      <c r="C123" s="2" t="s">
        <v>161</v>
      </c>
      <c r="D123" s="2" t="str">
        <f t="shared" si="20"/>
        <v>Kiran</v>
      </c>
      <c r="E123" s="2" t="s">
        <v>12</v>
      </c>
      <c r="F123" s="2" t="str">
        <f t="shared" si="21"/>
        <v>IT</v>
      </c>
      <c r="G123" s="6" t="s">
        <v>427</v>
      </c>
      <c r="H123" s="8">
        <f t="shared" si="22"/>
        <v>44059</v>
      </c>
      <c r="I123" s="2" t="s">
        <v>428</v>
      </c>
      <c r="J123" s="3">
        <f t="shared" ca="1" si="23"/>
        <v>44164</v>
      </c>
      <c r="K123" s="2">
        <v>9988898245</v>
      </c>
      <c r="L123" s="2">
        <f t="shared" si="24"/>
        <v>9988898245</v>
      </c>
      <c r="M123" s="2" t="s">
        <v>22</v>
      </c>
      <c r="N123" s="2" t="str">
        <f t="shared" si="25"/>
        <v>pooja@company.com</v>
      </c>
      <c r="O123" s="12">
        <v>32126</v>
      </c>
      <c r="P123" s="2" t="str">
        <f t="shared" si="14"/>
        <v>20K-40K</v>
      </c>
      <c r="Q123" s="2"/>
      <c r="R123" s="2" t="s">
        <v>186</v>
      </c>
      <c r="S123" s="2" t="str">
        <f t="shared" si="15"/>
        <v>M11</v>
      </c>
      <c r="T123" s="2" t="s">
        <v>149</v>
      </c>
      <c r="U123" s="2" t="str">
        <f t="shared" si="26"/>
        <v>ACTIVE</v>
      </c>
      <c r="V123" s="2">
        <f t="shared" ca="1" si="16"/>
        <v>105</v>
      </c>
      <c r="W123" s="2">
        <f t="shared" ca="1" si="17"/>
        <v>3</v>
      </c>
      <c r="X123" s="2">
        <f t="shared" ca="1" si="18"/>
        <v>0</v>
      </c>
      <c r="Y123" s="2"/>
      <c r="Z123" s="2"/>
      <c r="AA123" s="2" t="str">
        <f t="shared" ca="1" si="27"/>
        <v>OK</v>
      </c>
    </row>
    <row r="124" spans="1:27" x14ac:dyDescent="0.3">
      <c r="A124" s="2" t="s">
        <v>429</v>
      </c>
      <c r="B124" s="2" t="str">
        <f t="shared" si="19"/>
        <v>EMP123</v>
      </c>
      <c r="C124" s="2" t="s">
        <v>47</v>
      </c>
      <c r="D124" s="2" t="str">
        <f t="shared" si="20"/>
        <v>Sunita</v>
      </c>
      <c r="E124" s="2" t="s">
        <v>12</v>
      </c>
      <c r="F124" s="2" t="str">
        <f t="shared" si="21"/>
        <v>IT</v>
      </c>
      <c r="G124" s="6" t="s">
        <v>430</v>
      </c>
      <c r="H124" s="8">
        <f t="shared" si="22"/>
        <v>45162</v>
      </c>
      <c r="I124" s="2" t="s">
        <v>431</v>
      </c>
      <c r="J124" s="3">
        <f t="shared" ca="1" si="23"/>
        <v>46412</v>
      </c>
      <c r="K124" s="2">
        <v>9776759070</v>
      </c>
      <c r="L124" s="2">
        <f t="shared" si="24"/>
        <v>9776759070</v>
      </c>
      <c r="M124" s="2" t="s">
        <v>43</v>
      </c>
      <c r="N124" s="2" t="str">
        <f t="shared" si="25"/>
        <v>ravi@company.com</v>
      </c>
      <c r="O124" s="12">
        <v>94569</v>
      </c>
      <c r="P124" s="2" t="str">
        <f t="shared" si="14"/>
        <v>Above 80K</v>
      </c>
      <c r="Q124" s="2"/>
      <c r="R124" s="2" t="s">
        <v>75</v>
      </c>
      <c r="S124" s="2" t="str">
        <f t="shared" si="15"/>
        <v>M12</v>
      </c>
      <c r="T124" s="2" t="s">
        <v>45</v>
      </c>
      <c r="U124" s="2" t="str">
        <f t="shared" si="26"/>
        <v>RESIGNED</v>
      </c>
      <c r="V124" s="2">
        <f t="shared" ca="1" si="16"/>
        <v>1250</v>
      </c>
      <c r="W124" s="2">
        <f t="shared" ca="1" si="17"/>
        <v>41</v>
      </c>
      <c r="X124" s="2">
        <f t="shared" ca="1" si="18"/>
        <v>3</v>
      </c>
      <c r="Y124" s="2"/>
      <c r="Z124" s="2"/>
      <c r="AA124" s="2" t="str">
        <f t="shared" ca="1" si="27"/>
        <v>OK</v>
      </c>
    </row>
    <row r="125" spans="1:27" x14ac:dyDescent="0.3">
      <c r="A125" s="2" t="s">
        <v>432</v>
      </c>
      <c r="B125" s="2" t="str">
        <f t="shared" si="19"/>
        <v>EMP124</v>
      </c>
      <c r="C125" s="2" t="s">
        <v>115</v>
      </c>
      <c r="D125" s="2" t="str">
        <f t="shared" si="20"/>
        <v>Rahul</v>
      </c>
      <c r="E125" s="2" t="s">
        <v>57</v>
      </c>
      <c r="F125" s="2" t="str">
        <f t="shared" si="21"/>
        <v>HR</v>
      </c>
      <c r="G125" s="6" t="s">
        <v>433</v>
      </c>
      <c r="H125" s="8">
        <f t="shared" si="22"/>
        <v>43675</v>
      </c>
      <c r="I125" s="2" t="s">
        <v>434</v>
      </c>
      <c r="J125" s="3">
        <f t="shared" ca="1" si="23"/>
        <v>44060</v>
      </c>
      <c r="K125" s="2">
        <v>9270124250</v>
      </c>
      <c r="L125" s="2">
        <f t="shared" si="24"/>
        <v>9270124250</v>
      </c>
      <c r="M125" s="2" t="s">
        <v>15</v>
      </c>
      <c r="N125" s="2" t="str">
        <f t="shared" si="25"/>
        <v>amit@company.com</v>
      </c>
      <c r="O125" s="12">
        <v>92437</v>
      </c>
      <c r="P125" s="2" t="str">
        <f t="shared" si="14"/>
        <v>Above 80K</v>
      </c>
      <c r="Q125" s="2"/>
      <c r="R125" s="2" t="s">
        <v>135</v>
      </c>
      <c r="S125" s="2" t="str">
        <f t="shared" si="15"/>
        <v>M15</v>
      </c>
      <c r="T125" s="2" t="s">
        <v>17</v>
      </c>
      <c r="U125" s="2" t="str">
        <f t="shared" si="26"/>
        <v>RESIGNED</v>
      </c>
      <c r="V125" s="2">
        <f t="shared" ca="1" si="16"/>
        <v>385</v>
      </c>
      <c r="W125" s="2">
        <f t="shared" ca="1" si="17"/>
        <v>12</v>
      </c>
      <c r="X125" s="2">
        <f t="shared" ca="1" si="18"/>
        <v>1</v>
      </c>
      <c r="Y125" s="2"/>
      <c r="Z125" s="2"/>
      <c r="AA125" s="2" t="str">
        <f t="shared" ca="1" si="27"/>
        <v>CHECK</v>
      </c>
    </row>
    <row r="126" spans="1:27" x14ac:dyDescent="0.3">
      <c r="A126" s="2" t="s">
        <v>435</v>
      </c>
      <c r="B126" s="2" t="str">
        <f t="shared" si="19"/>
        <v>EMP125</v>
      </c>
      <c r="C126" s="2" t="s">
        <v>104</v>
      </c>
      <c r="D126" s="2" t="str">
        <f t="shared" si="20"/>
        <v>Vikas</v>
      </c>
      <c r="E126" s="2" t="s">
        <v>40</v>
      </c>
      <c r="F126" s="2" t="str">
        <f t="shared" si="21"/>
        <v>SALES</v>
      </c>
      <c r="G126" s="6" t="s">
        <v>436</v>
      </c>
      <c r="H126" s="8">
        <f t="shared" si="22"/>
        <v>44757</v>
      </c>
      <c r="I126" s="2" t="s">
        <v>437</v>
      </c>
      <c r="J126" s="3">
        <f t="shared" ca="1" si="23"/>
        <v>46248</v>
      </c>
      <c r="K126" s="2">
        <v>9243676089</v>
      </c>
      <c r="L126" s="2">
        <f t="shared" si="24"/>
        <v>9243676089</v>
      </c>
      <c r="M126" s="2" t="s">
        <v>43</v>
      </c>
      <c r="N126" s="2" t="str">
        <f t="shared" si="25"/>
        <v>ravi@company.com</v>
      </c>
      <c r="O126" s="12">
        <v>71743</v>
      </c>
      <c r="P126" s="2" t="str">
        <f t="shared" si="14"/>
        <v>60K-80K</v>
      </c>
      <c r="Q126" s="2"/>
      <c r="R126" s="2" t="s">
        <v>55</v>
      </c>
      <c r="S126" s="2" t="str">
        <f t="shared" si="15"/>
        <v>M2</v>
      </c>
      <c r="T126" s="2" t="s">
        <v>149</v>
      </c>
      <c r="U126" s="2" t="str">
        <f t="shared" si="26"/>
        <v>ACTIVE</v>
      </c>
      <c r="V126" s="2">
        <f t="shared" ca="1" si="16"/>
        <v>1491</v>
      </c>
      <c r="W126" s="2">
        <f t="shared" ca="1" si="17"/>
        <v>48</v>
      </c>
      <c r="X126" s="2">
        <f t="shared" ca="1" si="18"/>
        <v>4</v>
      </c>
      <c r="Y126" s="2"/>
      <c r="Z126" s="2"/>
      <c r="AA126" s="2" t="str">
        <f t="shared" ca="1" si="27"/>
        <v>OK</v>
      </c>
    </row>
    <row r="127" spans="1:27" x14ac:dyDescent="0.3">
      <c r="A127" s="2" t="s">
        <v>438</v>
      </c>
      <c r="B127" s="2" t="str">
        <f t="shared" si="19"/>
        <v>EMP126</v>
      </c>
      <c r="C127" s="2" t="s">
        <v>11</v>
      </c>
      <c r="D127" s="2" t="str">
        <f t="shared" si="20"/>
        <v>Ravi</v>
      </c>
      <c r="E127" s="2" t="s">
        <v>57</v>
      </c>
      <c r="F127" s="2" t="str">
        <f t="shared" si="21"/>
        <v>HR</v>
      </c>
      <c r="G127" s="6" t="s">
        <v>439</v>
      </c>
      <c r="H127" s="8">
        <f t="shared" si="22"/>
        <v>43893</v>
      </c>
      <c r="I127" s="2"/>
      <c r="J127" s="3">
        <f t="shared" ca="1" si="23"/>
        <v>46024</v>
      </c>
      <c r="K127" s="2">
        <v>9206351889</v>
      </c>
      <c r="L127" s="2">
        <f t="shared" si="24"/>
        <v>9206351889</v>
      </c>
      <c r="M127" s="2" t="s">
        <v>70</v>
      </c>
      <c r="N127" s="2" t="str">
        <f t="shared" si="25"/>
        <v>sunita@company.com</v>
      </c>
      <c r="O127" s="12">
        <v>26117</v>
      </c>
      <c r="P127" s="2" t="str">
        <f t="shared" si="14"/>
        <v>20K-40K</v>
      </c>
      <c r="Q127" s="2"/>
      <c r="R127" s="2" t="s">
        <v>440</v>
      </c>
      <c r="S127" s="2" t="str">
        <f t="shared" si="15"/>
        <v>M5</v>
      </c>
      <c r="T127" s="2" t="s">
        <v>31</v>
      </c>
      <c r="U127" s="2" t="str">
        <f t="shared" si="26"/>
        <v>ON HOLD</v>
      </c>
      <c r="V127" s="2">
        <f t="shared" ca="1" si="16"/>
        <v>2131</v>
      </c>
      <c r="W127" s="2">
        <f t="shared" ca="1" si="17"/>
        <v>69</v>
      </c>
      <c r="X127" s="2">
        <f t="shared" ca="1" si="18"/>
        <v>5</v>
      </c>
      <c r="Y127" s="2"/>
      <c r="Z127" s="2"/>
      <c r="AA127" s="2" t="str">
        <f t="shared" ca="1" si="27"/>
        <v>OK</v>
      </c>
    </row>
    <row r="128" spans="1:27" x14ac:dyDescent="0.3">
      <c r="A128" s="2" t="s">
        <v>441</v>
      </c>
      <c r="B128" s="2" t="str">
        <f t="shared" si="19"/>
        <v>EMP127</v>
      </c>
      <c r="C128" s="2" t="s">
        <v>81</v>
      </c>
      <c r="D128" s="2" t="str">
        <f t="shared" si="20"/>
        <v>Suresh</v>
      </c>
      <c r="E128" s="2" t="s">
        <v>12</v>
      </c>
      <c r="F128" s="2" t="str">
        <f t="shared" si="21"/>
        <v>IT</v>
      </c>
      <c r="G128" s="6" t="s">
        <v>442</v>
      </c>
      <c r="H128" s="8">
        <f t="shared" si="22"/>
        <v>45180</v>
      </c>
      <c r="I128" s="2" t="s">
        <v>443</v>
      </c>
      <c r="J128" s="3">
        <f t="shared" ca="1" si="23"/>
        <v>45833</v>
      </c>
      <c r="K128" s="2">
        <v>9109527119</v>
      </c>
      <c r="L128" s="2">
        <f t="shared" si="24"/>
        <v>9109527119</v>
      </c>
      <c r="M128" s="2" t="s">
        <v>70</v>
      </c>
      <c r="N128" s="2" t="str">
        <f t="shared" si="25"/>
        <v>sunita@company.com</v>
      </c>
      <c r="O128" s="12">
        <v>12779</v>
      </c>
      <c r="P128" s="2" t="str">
        <f t="shared" si="14"/>
        <v>Below 20K</v>
      </c>
      <c r="Q128" s="2"/>
      <c r="R128" s="2" t="s">
        <v>30</v>
      </c>
      <c r="S128" s="2" t="str">
        <f t="shared" si="15"/>
        <v>M3</v>
      </c>
      <c r="T128" s="2" t="s">
        <v>17</v>
      </c>
      <c r="U128" s="2" t="str">
        <f t="shared" si="26"/>
        <v>RESIGNED</v>
      </c>
      <c r="V128" s="2">
        <f t="shared" ca="1" si="16"/>
        <v>653</v>
      </c>
      <c r="W128" s="2">
        <f t="shared" ca="1" si="17"/>
        <v>21</v>
      </c>
      <c r="X128" s="2">
        <f t="shared" ca="1" si="18"/>
        <v>1</v>
      </c>
      <c r="Y128" s="2"/>
      <c r="Z128" s="2"/>
      <c r="AA128" s="2" t="str">
        <f t="shared" ca="1" si="27"/>
        <v>OK</v>
      </c>
    </row>
    <row r="129" spans="1:27" x14ac:dyDescent="0.3">
      <c r="A129" s="2" t="s">
        <v>444</v>
      </c>
      <c r="B129" s="2" t="str">
        <f t="shared" si="19"/>
        <v>EMP128</v>
      </c>
      <c r="C129" s="2" t="s">
        <v>96</v>
      </c>
      <c r="D129" s="2" t="str">
        <f t="shared" si="20"/>
        <v>Neha</v>
      </c>
      <c r="E129" s="2" t="s">
        <v>19</v>
      </c>
      <c r="F129" s="2" t="str">
        <f t="shared" si="21"/>
        <v>FINANCE</v>
      </c>
      <c r="G129" s="6" t="s">
        <v>445</v>
      </c>
      <c r="H129" s="8">
        <f t="shared" si="22"/>
        <v>44616</v>
      </c>
      <c r="I129" s="2" t="s">
        <v>446</v>
      </c>
      <c r="J129" s="3">
        <f t="shared" ca="1" si="23"/>
        <v>45962</v>
      </c>
      <c r="K129" s="2">
        <v>9218041954</v>
      </c>
      <c r="L129" s="2">
        <f t="shared" si="24"/>
        <v>9218041954</v>
      </c>
      <c r="M129" s="2" t="s">
        <v>400</v>
      </c>
      <c r="N129" s="2" t="str">
        <f t="shared" si="25"/>
        <v>kiran@gmail.com</v>
      </c>
      <c r="O129" s="12">
        <v>77094</v>
      </c>
      <c r="P129" s="2" t="str">
        <f t="shared" si="14"/>
        <v>60K-80K</v>
      </c>
      <c r="Q129" s="2"/>
      <c r="R129" s="2" t="s">
        <v>71</v>
      </c>
      <c r="S129" s="2" t="str">
        <f t="shared" si="15"/>
        <v>M14</v>
      </c>
      <c r="T129" s="2" t="s">
        <v>149</v>
      </c>
      <c r="U129" s="2" t="str">
        <f t="shared" si="26"/>
        <v>ACTIVE</v>
      </c>
      <c r="V129" s="2">
        <f t="shared" ca="1" si="16"/>
        <v>1346</v>
      </c>
      <c r="W129" s="2">
        <f t="shared" ca="1" si="17"/>
        <v>44</v>
      </c>
      <c r="X129" s="2">
        <f t="shared" ca="1" si="18"/>
        <v>3</v>
      </c>
      <c r="Y129" s="2"/>
      <c r="Z129" s="2"/>
      <c r="AA129" s="2" t="str">
        <f t="shared" ca="1" si="27"/>
        <v>OK</v>
      </c>
    </row>
    <row r="130" spans="1:27" x14ac:dyDescent="0.3">
      <c r="A130" s="2" t="s">
        <v>447</v>
      </c>
      <c r="B130" s="2" t="str">
        <f t="shared" si="19"/>
        <v>EMP129</v>
      </c>
      <c r="C130" s="2" t="s">
        <v>11</v>
      </c>
      <c r="D130" s="2" t="str">
        <f t="shared" si="20"/>
        <v>Ravi</v>
      </c>
      <c r="E130" s="2" t="s">
        <v>48</v>
      </c>
      <c r="F130" s="2" t="str">
        <f t="shared" si="21"/>
        <v>FINANCE</v>
      </c>
      <c r="G130" s="6" t="s">
        <v>448</v>
      </c>
      <c r="H130" s="8">
        <f t="shared" si="22"/>
        <v>43667</v>
      </c>
      <c r="I130" s="2" t="s">
        <v>449</v>
      </c>
      <c r="J130" s="3">
        <f t="shared" ca="1" si="23"/>
        <v>44134</v>
      </c>
      <c r="K130" s="2">
        <v>9838277221</v>
      </c>
      <c r="L130" s="2">
        <f t="shared" si="24"/>
        <v>9838277221</v>
      </c>
      <c r="M130" s="2" t="s">
        <v>107</v>
      </c>
      <c r="N130" s="2" t="str">
        <f t="shared" si="25"/>
        <v>vikas@company.com</v>
      </c>
      <c r="O130" s="12">
        <v>19935</v>
      </c>
      <c r="P130" s="2" t="str">
        <f t="shared" ref="P130:P193" si="28">IF(O130&lt;20000,"Below 20K",
IF(O130&lt;=40000,"20K-40K",
IF(O130&lt;=60000,"40K-60K",
IF(O130&lt;=80000,"60K-80K",
"Above 80K"))))</f>
        <v>Below 20K</v>
      </c>
      <c r="Q130" s="2"/>
      <c r="R130" s="2" t="s">
        <v>30</v>
      </c>
      <c r="S130" s="2" t="str">
        <f t="shared" ref="S130:S193" si="29">TRIM(CLEAN(SUBSTITUTE(R130," ","")))</f>
        <v>M3</v>
      </c>
      <c r="T130" s="2" t="s">
        <v>45</v>
      </c>
      <c r="U130" s="2" t="str">
        <f t="shared" si="26"/>
        <v>RESIGNED</v>
      </c>
      <c r="V130" s="2">
        <f t="shared" ref="V130:V193" ca="1" si="30">DATEDIF(H130,J130,"D")</f>
        <v>467</v>
      </c>
      <c r="W130" s="2">
        <f t="shared" ref="W130:W193" ca="1" si="31">DATEDIF(H130,J130,"M")</f>
        <v>15</v>
      </c>
      <c r="X130" s="2">
        <f t="shared" ref="X130:X193" ca="1" si="32">DATEDIF(H130,J130,"Y")</f>
        <v>1</v>
      </c>
      <c r="Y130" s="2"/>
      <c r="Z130" s="2"/>
      <c r="AA130" s="2" t="str">
        <f t="shared" ca="1" si="27"/>
        <v>OK</v>
      </c>
    </row>
    <row r="131" spans="1:27" x14ac:dyDescent="0.3">
      <c r="A131" s="2" t="s">
        <v>450</v>
      </c>
      <c r="B131" s="2" t="str">
        <f t="shared" ref="B131:B194" si="33">TRIM(UPPER(A131))</f>
        <v>EMP130</v>
      </c>
      <c r="C131" s="2" t="s">
        <v>161</v>
      </c>
      <c r="D131" s="2" t="str">
        <f t="shared" ref="D131:D194" si="34">PROPER(TRIM(C131))</f>
        <v>Kiran</v>
      </c>
      <c r="E131" s="2" t="s">
        <v>48</v>
      </c>
      <c r="F131" s="2" t="str">
        <f t="shared" ref="F131:F194" si="35">TRIM(UPPER(E131))</f>
        <v>FINANCE</v>
      </c>
      <c r="G131" s="6" t="s">
        <v>451</v>
      </c>
      <c r="H131" s="8">
        <f t="shared" ref="H131:H194" si="36">DATEVALUE(G131)</f>
        <v>44836</v>
      </c>
      <c r="I131" s="2" t="s">
        <v>452</v>
      </c>
      <c r="J131" s="3">
        <f t="shared" ref="J131:J194" ca="1" si="37">IF(I131="",TODAY(),DATEVALUE(I131))</f>
        <v>46239</v>
      </c>
      <c r="K131" s="2">
        <v>9516138229</v>
      </c>
      <c r="L131" s="2">
        <f t="shared" ref="L131:L194" si="38">VALUE(K131)</f>
        <v>9516138229</v>
      </c>
      <c r="M131" s="2" t="s">
        <v>29</v>
      </c>
      <c r="N131" s="2" t="str">
        <f t="shared" ref="N131:N194" si="39">TRIM(LOWER(M131))</f>
        <v>suresh@company.com</v>
      </c>
      <c r="O131" s="12">
        <v>14716</v>
      </c>
      <c r="P131" s="2" t="str">
        <f t="shared" si="28"/>
        <v>Below 20K</v>
      </c>
      <c r="Q131" s="2"/>
      <c r="R131" s="2" t="s">
        <v>16</v>
      </c>
      <c r="S131" s="2" t="str">
        <f t="shared" si="29"/>
        <v>M4</v>
      </c>
      <c r="T131" s="2" t="s">
        <v>45</v>
      </c>
      <c r="U131" s="2" t="str">
        <f t="shared" ref="U131:U194" si="40">TRIM(UPPER(T131))</f>
        <v>RESIGNED</v>
      </c>
      <c r="V131" s="2">
        <f t="shared" ca="1" si="30"/>
        <v>1403</v>
      </c>
      <c r="W131" s="2">
        <f t="shared" ca="1" si="31"/>
        <v>46</v>
      </c>
      <c r="X131" s="2">
        <f t="shared" ca="1" si="32"/>
        <v>3</v>
      </c>
      <c r="Y131" s="2"/>
      <c r="Z131" s="2"/>
      <c r="AA131" s="2" t="str">
        <f t="shared" ref="AA131:AA194" ca="1" si="41">IF(AND(O131&gt;80000,X131&lt;2),"CHECK","OK")</f>
        <v>OK</v>
      </c>
    </row>
    <row r="132" spans="1:27" x14ac:dyDescent="0.3">
      <c r="A132" s="2" t="s">
        <v>453</v>
      </c>
      <c r="B132" s="2" t="str">
        <f t="shared" si="33"/>
        <v>EMP131</v>
      </c>
      <c r="C132" s="2" t="s">
        <v>47</v>
      </c>
      <c r="D132" s="2" t="str">
        <f t="shared" si="34"/>
        <v>Sunita</v>
      </c>
      <c r="E132" s="2" t="s">
        <v>19</v>
      </c>
      <c r="F132" s="2" t="str">
        <f t="shared" si="35"/>
        <v>FINANCE</v>
      </c>
      <c r="G132" s="6" t="s">
        <v>454</v>
      </c>
      <c r="H132" s="8">
        <f t="shared" si="36"/>
        <v>44437</v>
      </c>
      <c r="I132" s="2" t="s">
        <v>455</v>
      </c>
      <c r="J132" s="3">
        <f t="shared" ca="1" si="37"/>
        <v>44715</v>
      </c>
      <c r="K132" s="2">
        <v>9376811782</v>
      </c>
      <c r="L132" s="2">
        <f t="shared" si="38"/>
        <v>9376811782</v>
      </c>
      <c r="M132" s="2" t="s">
        <v>22</v>
      </c>
      <c r="N132" s="2" t="str">
        <f t="shared" si="39"/>
        <v>pooja@company.com</v>
      </c>
      <c r="O132" s="12">
        <v>13461</v>
      </c>
      <c r="P132" s="2" t="str">
        <f t="shared" si="28"/>
        <v>Below 20K</v>
      </c>
      <c r="Q132" s="2"/>
      <c r="R132" s="2" t="s">
        <v>30</v>
      </c>
      <c r="S132" s="2" t="str">
        <f t="shared" si="29"/>
        <v>M3</v>
      </c>
      <c r="T132" s="2" t="s">
        <v>31</v>
      </c>
      <c r="U132" s="2" t="str">
        <f t="shared" si="40"/>
        <v>ON HOLD</v>
      </c>
      <c r="V132" s="2">
        <f t="shared" ca="1" si="30"/>
        <v>278</v>
      </c>
      <c r="W132" s="2">
        <f t="shared" ca="1" si="31"/>
        <v>9</v>
      </c>
      <c r="X132" s="2">
        <f t="shared" ca="1" si="32"/>
        <v>0</v>
      </c>
      <c r="Y132" s="2"/>
      <c r="Z132" s="2"/>
      <c r="AA132" s="2" t="str">
        <f t="shared" ca="1" si="41"/>
        <v>OK</v>
      </c>
    </row>
    <row r="133" spans="1:27" x14ac:dyDescent="0.3">
      <c r="A133" s="2" t="s">
        <v>456</v>
      </c>
      <c r="B133" s="2" t="str">
        <f t="shared" si="33"/>
        <v>EMP132</v>
      </c>
      <c r="C133" s="2" t="s">
        <v>25</v>
      </c>
      <c r="D133" s="2" t="str">
        <f t="shared" si="34"/>
        <v>Ankit</v>
      </c>
      <c r="E133" s="2" t="s">
        <v>26</v>
      </c>
      <c r="F133" s="2" t="str">
        <f t="shared" si="35"/>
        <v>HR</v>
      </c>
      <c r="G133" s="6" t="s">
        <v>457</v>
      </c>
      <c r="H133" s="8">
        <f t="shared" si="36"/>
        <v>45134</v>
      </c>
      <c r="I133" s="2" t="s">
        <v>458</v>
      </c>
      <c r="J133" s="3">
        <f t="shared" ca="1" si="37"/>
        <v>46567</v>
      </c>
      <c r="K133" s="2">
        <v>9283074810</v>
      </c>
      <c r="L133" s="2">
        <f t="shared" si="38"/>
        <v>9283074810</v>
      </c>
      <c r="M133" s="2" t="s">
        <v>70</v>
      </c>
      <c r="N133" s="2" t="str">
        <f t="shared" si="39"/>
        <v>sunita@company.com</v>
      </c>
      <c r="O133" s="12">
        <v>79615</v>
      </c>
      <c r="P133" s="2" t="str">
        <f t="shared" si="28"/>
        <v>60K-80K</v>
      </c>
      <c r="Q133" s="2"/>
      <c r="R133" s="2" t="s">
        <v>16</v>
      </c>
      <c r="S133" s="2" t="str">
        <f t="shared" si="29"/>
        <v>M4</v>
      </c>
      <c r="T133" s="2" t="s">
        <v>17</v>
      </c>
      <c r="U133" s="2" t="str">
        <f t="shared" si="40"/>
        <v>RESIGNED</v>
      </c>
      <c r="V133" s="2">
        <f t="shared" ca="1" si="30"/>
        <v>1433</v>
      </c>
      <c r="W133" s="2">
        <f t="shared" ca="1" si="31"/>
        <v>47</v>
      </c>
      <c r="X133" s="2">
        <f t="shared" ca="1" si="32"/>
        <v>3</v>
      </c>
      <c r="Y133" s="2"/>
      <c r="Z133" s="2"/>
      <c r="AA133" s="2" t="str">
        <f t="shared" ca="1" si="41"/>
        <v>OK</v>
      </c>
    </row>
    <row r="134" spans="1:27" x14ac:dyDescent="0.3">
      <c r="A134" s="2" t="s">
        <v>459</v>
      </c>
      <c r="B134" s="2" t="str">
        <f t="shared" si="33"/>
        <v>EMP133</v>
      </c>
      <c r="C134" s="2" t="s">
        <v>25</v>
      </c>
      <c r="D134" s="2" t="str">
        <f t="shared" si="34"/>
        <v>Ankit</v>
      </c>
      <c r="E134" s="2" t="s">
        <v>12</v>
      </c>
      <c r="F134" s="2" t="str">
        <f t="shared" si="35"/>
        <v>IT</v>
      </c>
      <c r="G134" s="6" t="s">
        <v>460</v>
      </c>
      <c r="H134" s="8">
        <f t="shared" si="36"/>
        <v>44600</v>
      </c>
      <c r="I134" s="2"/>
      <c r="J134" s="3">
        <f t="shared" ca="1" si="37"/>
        <v>46024</v>
      </c>
      <c r="K134" s="2">
        <v>9541607757</v>
      </c>
      <c r="L134" s="2">
        <f t="shared" si="38"/>
        <v>9541607757</v>
      </c>
      <c r="M134" s="2" t="s">
        <v>118</v>
      </c>
      <c r="N134" s="2" t="str">
        <f t="shared" si="39"/>
        <v>rahul@company.com</v>
      </c>
      <c r="O134" s="12">
        <v>48540</v>
      </c>
      <c r="P134" s="2" t="str">
        <f t="shared" si="28"/>
        <v>40K-60K</v>
      </c>
      <c r="Q134" s="2"/>
      <c r="R134" s="2" t="s">
        <v>71</v>
      </c>
      <c r="S134" s="2" t="str">
        <f t="shared" si="29"/>
        <v>M14</v>
      </c>
      <c r="T134" s="2" t="s">
        <v>31</v>
      </c>
      <c r="U134" s="2" t="str">
        <f t="shared" si="40"/>
        <v>ON HOLD</v>
      </c>
      <c r="V134" s="2">
        <f t="shared" ca="1" si="30"/>
        <v>1424</v>
      </c>
      <c r="W134" s="2">
        <f t="shared" ca="1" si="31"/>
        <v>46</v>
      </c>
      <c r="X134" s="2">
        <f t="shared" ca="1" si="32"/>
        <v>3</v>
      </c>
      <c r="Y134" s="2"/>
      <c r="Z134" s="2"/>
      <c r="AA134" s="2" t="str">
        <f t="shared" ca="1" si="41"/>
        <v>OK</v>
      </c>
    </row>
    <row r="135" spans="1:27" x14ac:dyDescent="0.3">
      <c r="A135" s="2" t="s">
        <v>461</v>
      </c>
      <c r="B135" s="2" t="str">
        <f t="shared" si="33"/>
        <v>EMP134</v>
      </c>
      <c r="C135" s="2" t="s">
        <v>96</v>
      </c>
      <c r="D135" s="2" t="str">
        <f t="shared" si="34"/>
        <v>Neha</v>
      </c>
      <c r="E135" s="2" t="s">
        <v>40</v>
      </c>
      <c r="F135" s="2" t="str">
        <f t="shared" si="35"/>
        <v>SALES</v>
      </c>
      <c r="G135" s="6" t="s">
        <v>462</v>
      </c>
      <c r="H135" s="8">
        <f t="shared" si="36"/>
        <v>44019</v>
      </c>
      <c r="I135" s="2" t="s">
        <v>463</v>
      </c>
      <c r="J135" s="3">
        <f t="shared" ca="1" si="37"/>
        <v>44217</v>
      </c>
      <c r="K135" s="2">
        <v>9933720340</v>
      </c>
      <c r="L135" s="2">
        <f t="shared" si="38"/>
        <v>9933720340</v>
      </c>
      <c r="M135" s="2" t="s">
        <v>29</v>
      </c>
      <c r="N135" s="2" t="str">
        <f t="shared" si="39"/>
        <v>suresh@company.com</v>
      </c>
      <c r="O135" s="12">
        <v>58302</v>
      </c>
      <c r="P135" s="2" t="str">
        <f t="shared" si="28"/>
        <v>40K-60K</v>
      </c>
      <c r="Q135" s="2"/>
      <c r="R135" s="2" t="s">
        <v>135</v>
      </c>
      <c r="S135" s="2" t="str">
        <f t="shared" si="29"/>
        <v>M15</v>
      </c>
      <c r="T135" s="2" t="s">
        <v>31</v>
      </c>
      <c r="U135" s="2" t="str">
        <f t="shared" si="40"/>
        <v>ON HOLD</v>
      </c>
      <c r="V135" s="2">
        <f t="shared" ca="1" si="30"/>
        <v>198</v>
      </c>
      <c r="W135" s="2">
        <f t="shared" ca="1" si="31"/>
        <v>6</v>
      </c>
      <c r="X135" s="2">
        <f t="shared" ca="1" si="32"/>
        <v>0</v>
      </c>
      <c r="Y135" s="2"/>
      <c r="Z135" s="2"/>
      <c r="AA135" s="2" t="str">
        <f t="shared" ca="1" si="41"/>
        <v>OK</v>
      </c>
    </row>
    <row r="136" spans="1:27" x14ac:dyDescent="0.3">
      <c r="A136" s="2" t="s">
        <v>464</v>
      </c>
      <c r="B136" s="2" t="str">
        <f t="shared" si="33"/>
        <v>EMP135</v>
      </c>
      <c r="C136" s="2" t="s">
        <v>47</v>
      </c>
      <c r="D136" s="2" t="str">
        <f t="shared" si="34"/>
        <v>Sunita</v>
      </c>
      <c r="E136" s="2" t="s">
        <v>26</v>
      </c>
      <c r="F136" s="2" t="str">
        <f t="shared" si="35"/>
        <v>HR</v>
      </c>
      <c r="G136" s="6" t="s">
        <v>465</v>
      </c>
      <c r="H136" s="8">
        <f t="shared" si="36"/>
        <v>44401</v>
      </c>
      <c r="I136" s="2" t="s">
        <v>466</v>
      </c>
      <c r="J136" s="3">
        <f t="shared" ca="1" si="37"/>
        <v>45427</v>
      </c>
      <c r="K136" s="2">
        <v>9994614771</v>
      </c>
      <c r="L136" s="2">
        <f t="shared" si="38"/>
        <v>9994614771</v>
      </c>
      <c r="M136" s="2" t="s">
        <v>29</v>
      </c>
      <c r="N136" s="2" t="str">
        <f t="shared" si="39"/>
        <v>suresh@company.com</v>
      </c>
      <c r="O136" s="12">
        <v>64910</v>
      </c>
      <c r="P136" s="2" t="str">
        <f t="shared" si="28"/>
        <v>60K-80K</v>
      </c>
      <c r="Q136" s="2"/>
      <c r="R136" s="2" t="s">
        <v>467</v>
      </c>
      <c r="S136" s="2" t="str">
        <f t="shared" si="29"/>
        <v>M24</v>
      </c>
      <c r="T136" s="2" t="s">
        <v>45</v>
      </c>
      <c r="U136" s="2" t="str">
        <f t="shared" si="40"/>
        <v>RESIGNED</v>
      </c>
      <c r="V136" s="2">
        <f t="shared" ca="1" si="30"/>
        <v>1026</v>
      </c>
      <c r="W136" s="2">
        <f t="shared" ca="1" si="31"/>
        <v>33</v>
      </c>
      <c r="X136" s="2">
        <f t="shared" ca="1" si="32"/>
        <v>2</v>
      </c>
      <c r="Y136" s="2"/>
      <c r="Z136" s="2"/>
      <c r="AA136" s="2" t="str">
        <f t="shared" ca="1" si="41"/>
        <v>OK</v>
      </c>
    </row>
    <row r="137" spans="1:27" x14ac:dyDescent="0.3">
      <c r="A137" s="2" t="s">
        <v>468</v>
      </c>
      <c r="B137" s="2" t="str">
        <f t="shared" si="33"/>
        <v>EMP136</v>
      </c>
      <c r="C137" s="2" t="s">
        <v>39</v>
      </c>
      <c r="D137" s="2" t="str">
        <f t="shared" si="34"/>
        <v>Amit</v>
      </c>
      <c r="E137" s="2" t="s">
        <v>19</v>
      </c>
      <c r="F137" s="2" t="str">
        <f t="shared" si="35"/>
        <v>FINANCE</v>
      </c>
      <c r="G137" s="6" t="s">
        <v>68</v>
      </c>
      <c r="H137" s="8">
        <f t="shared" si="36"/>
        <v>44424</v>
      </c>
      <c r="I137" s="2" t="s">
        <v>469</v>
      </c>
      <c r="J137" s="3">
        <f t="shared" ca="1" si="37"/>
        <v>44563</v>
      </c>
      <c r="K137" s="2">
        <v>9598233365</v>
      </c>
      <c r="L137" s="2">
        <f t="shared" si="38"/>
        <v>9598233365</v>
      </c>
      <c r="M137" s="2" t="s">
        <v>126</v>
      </c>
      <c r="N137" s="2" t="str">
        <f t="shared" si="39"/>
        <v>neha@gmail.com</v>
      </c>
      <c r="O137" s="12">
        <v>92917</v>
      </c>
      <c r="P137" s="2" t="str">
        <f t="shared" si="28"/>
        <v>Above 80K</v>
      </c>
      <c r="Q137" s="2"/>
      <c r="R137" s="2" t="s">
        <v>71</v>
      </c>
      <c r="S137" s="2" t="str">
        <f t="shared" si="29"/>
        <v>M14</v>
      </c>
      <c r="T137" s="2" t="s">
        <v>37</v>
      </c>
      <c r="U137" s="2" t="str">
        <f t="shared" si="40"/>
        <v>ACTIVE</v>
      </c>
      <c r="V137" s="2">
        <f t="shared" ca="1" si="30"/>
        <v>139</v>
      </c>
      <c r="W137" s="2">
        <f t="shared" ca="1" si="31"/>
        <v>4</v>
      </c>
      <c r="X137" s="2">
        <f t="shared" ca="1" si="32"/>
        <v>0</v>
      </c>
      <c r="Y137" s="2"/>
      <c r="Z137" s="2"/>
      <c r="AA137" s="2" t="str">
        <f t="shared" ca="1" si="41"/>
        <v>CHECK</v>
      </c>
    </row>
    <row r="138" spans="1:27" x14ac:dyDescent="0.3">
      <c r="A138" s="2" t="s">
        <v>470</v>
      </c>
      <c r="B138" s="2" t="str">
        <f t="shared" si="33"/>
        <v>EMP137</v>
      </c>
      <c r="C138" s="2" t="s">
        <v>161</v>
      </c>
      <c r="D138" s="2" t="str">
        <f t="shared" si="34"/>
        <v>Kiran</v>
      </c>
      <c r="E138" s="2" t="s">
        <v>12</v>
      </c>
      <c r="F138" s="2" t="str">
        <f t="shared" si="35"/>
        <v>IT</v>
      </c>
      <c r="G138" s="6" t="s">
        <v>471</v>
      </c>
      <c r="H138" s="8">
        <f t="shared" si="36"/>
        <v>43645</v>
      </c>
      <c r="I138" s="2" t="s">
        <v>472</v>
      </c>
      <c r="J138" s="3">
        <f t="shared" ca="1" si="37"/>
        <v>44617</v>
      </c>
      <c r="K138" s="2">
        <v>9220357031</v>
      </c>
      <c r="L138" s="2">
        <f t="shared" si="38"/>
        <v>9220357031</v>
      </c>
      <c r="M138" s="2" t="s">
        <v>70</v>
      </c>
      <c r="N138" s="2" t="str">
        <f t="shared" si="39"/>
        <v>sunita@company.com</v>
      </c>
      <c r="O138" s="12">
        <v>60328</v>
      </c>
      <c r="P138" s="2" t="str">
        <f t="shared" si="28"/>
        <v>60K-80K</v>
      </c>
      <c r="Q138" s="2"/>
      <c r="R138" s="2" t="s">
        <v>127</v>
      </c>
      <c r="S138" s="2" t="str">
        <f t="shared" si="29"/>
        <v>M19</v>
      </c>
      <c r="T138" s="2" t="s">
        <v>45</v>
      </c>
      <c r="U138" s="2" t="str">
        <f t="shared" si="40"/>
        <v>RESIGNED</v>
      </c>
      <c r="V138" s="2">
        <f t="shared" ca="1" si="30"/>
        <v>972</v>
      </c>
      <c r="W138" s="2">
        <f t="shared" ca="1" si="31"/>
        <v>31</v>
      </c>
      <c r="X138" s="2">
        <f t="shared" ca="1" si="32"/>
        <v>2</v>
      </c>
      <c r="Y138" s="2"/>
      <c r="Z138" s="2"/>
      <c r="AA138" s="2" t="str">
        <f t="shared" ca="1" si="41"/>
        <v>OK</v>
      </c>
    </row>
    <row r="139" spans="1:27" x14ac:dyDescent="0.3">
      <c r="A139" s="2" t="s">
        <v>473</v>
      </c>
      <c r="B139" s="2" t="str">
        <f t="shared" si="33"/>
        <v>EMP138</v>
      </c>
      <c r="C139" s="2" t="s">
        <v>96</v>
      </c>
      <c r="D139" s="2" t="str">
        <f t="shared" si="34"/>
        <v>Neha</v>
      </c>
      <c r="E139" s="2" t="s">
        <v>57</v>
      </c>
      <c r="F139" s="2" t="str">
        <f t="shared" si="35"/>
        <v>HR</v>
      </c>
      <c r="G139" s="6" t="s">
        <v>474</v>
      </c>
      <c r="H139" s="8">
        <f t="shared" si="36"/>
        <v>45006</v>
      </c>
      <c r="I139" s="2" t="s">
        <v>475</v>
      </c>
      <c r="J139" s="3">
        <f t="shared" ca="1" si="37"/>
        <v>45559</v>
      </c>
      <c r="K139" s="2">
        <v>9953147974</v>
      </c>
      <c r="L139" s="2">
        <f t="shared" si="38"/>
        <v>9953147974</v>
      </c>
      <c r="M139" s="2" t="s">
        <v>107</v>
      </c>
      <c r="N139" s="2" t="str">
        <f t="shared" si="39"/>
        <v>vikas@company.com</v>
      </c>
      <c r="O139" s="12">
        <v>61033</v>
      </c>
      <c r="P139" s="2" t="str">
        <f t="shared" si="28"/>
        <v>60K-80K</v>
      </c>
      <c r="Q139" s="2"/>
      <c r="R139" s="2" t="s">
        <v>44</v>
      </c>
      <c r="S139" s="2" t="str">
        <f t="shared" si="29"/>
        <v>M9</v>
      </c>
      <c r="T139" s="2" t="s">
        <v>37</v>
      </c>
      <c r="U139" s="2" t="str">
        <f t="shared" si="40"/>
        <v>ACTIVE</v>
      </c>
      <c r="V139" s="2">
        <f t="shared" ca="1" si="30"/>
        <v>553</v>
      </c>
      <c r="W139" s="2">
        <f t="shared" ca="1" si="31"/>
        <v>18</v>
      </c>
      <c r="X139" s="2">
        <f t="shared" ca="1" si="32"/>
        <v>1</v>
      </c>
      <c r="Y139" s="2"/>
      <c r="Z139" s="2"/>
      <c r="AA139" s="2" t="str">
        <f t="shared" ca="1" si="41"/>
        <v>OK</v>
      </c>
    </row>
    <row r="140" spans="1:27" x14ac:dyDescent="0.3">
      <c r="A140" s="2" t="s">
        <v>476</v>
      </c>
      <c r="B140" s="2" t="str">
        <f t="shared" si="33"/>
        <v>EMP139</v>
      </c>
      <c r="C140" s="2" t="s">
        <v>11</v>
      </c>
      <c r="D140" s="2" t="str">
        <f t="shared" si="34"/>
        <v>Ravi</v>
      </c>
      <c r="E140" s="2" t="s">
        <v>12</v>
      </c>
      <c r="F140" s="2" t="str">
        <f t="shared" si="35"/>
        <v>IT</v>
      </c>
      <c r="G140" s="6" t="s">
        <v>477</v>
      </c>
      <c r="H140" s="8">
        <f t="shared" si="36"/>
        <v>44966</v>
      </c>
      <c r="I140" s="2" t="s">
        <v>478</v>
      </c>
      <c r="J140" s="3">
        <f t="shared" ca="1" si="37"/>
        <v>45404</v>
      </c>
      <c r="K140" s="2">
        <v>9796115365</v>
      </c>
      <c r="L140" s="2">
        <f t="shared" si="38"/>
        <v>9796115365</v>
      </c>
      <c r="M140" s="2" t="s">
        <v>107</v>
      </c>
      <c r="N140" s="2" t="str">
        <f t="shared" si="39"/>
        <v>vikas@company.com</v>
      </c>
      <c r="O140" s="12">
        <v>94071</v>
      </c>
      <c r="P140" s="2" t="str">
        <f t="shared" si="28"/>
        <v>Above 80K</v>
      </c>
      <c r="Q140" s="2"/>
      <c r="R140" s="2" t="s">
        <v>142</v>
      </c>
      <c r="S140" s="2" t="str">
        <f t="shared" si="29"/>
        <v>M23</v>
      </c>
      <c r="T140" s="2" t="s">
        <v>149</v>
      </c>
      <c r="U140" s="2" t="str">
        <f t="shared" si="40"/>
        <v>ACTIVE</v>
      </c>
      <c r="V140" s="2">
        <f t="shared" ca="1" si="30"/>
        <v>438</v>
      </c>
      <c r="W140" s="2">
        <f t="shared" ca="1" si="31"/>
        <v>14</v>
      </c>
      <c r="X140" s="2">
        <f t="shared" ca="1" si="32"/>
        <v>1</v>
      </c>
      <c r="Y140" s="2"/>
      <c r="Z140" s="2"/>
      <c r="AA140" s="2" t="str">
        <f t="shared" ca="1" si="41"/>
        <v>CHECK</v>
      </c>
    </row>
    <row r="141" spans="1:27" x14ac:dyDescent="0.3">
      <c r="A141" s="2" t="s">
        <v>479</v>
      </c>
      <c r="B141" s="2" t="str">
        <f t="shared" si="33"/>
        <v>EMP140</v>
      </c>
      <c r="C141" s="2" t="s">
        <v>39</v>
      </c>
      <c r="D141" s="2" t="str">
        <f t="shared" si="34"/>
        <v>Amit</v>
      </c>
      <c r="E141" s="2" t="s">
        <v>40</v>
      </c>
      <c r="F141" s="2" t="str">
        <f t="shared" si="35"/>
        <v>SALES</v>
      </c>
      <c r="G141" s="6" t="s">
        <v>480</v>
      </c>
      <c r="H141" s="8">
        <f t="shared" si="36"/>
        <v>44906</v>
      </c>
      <c r="I141" s="2"/>
      <c r="J141" s="3">
        <f t="shared" ca="1" si="37"/>
        <v>46024</v>
      </c>
      <c r="K141" s="2">
        <v>9507387598</v>
      </c>
      <c r="L141" s="2">
        <f t="shared" si="38"/>
        <v>9507387598</v>
      </c>
      <c r="M141" s="2" t="s">
        <v>51</v>
      </c>
      <c r="N141" s="2" t="str">
        <f t="shared" si="39"/>
        <v>kiran@company.com</v>
      </c>
      <c r="O141" s="12">
        <v>90672</v>
      </c>
      <c r="P141" s="2" t="str">
        <f t="shared" si="28"/>
        <v>Above 80K</v>
      </c>
      <c r="Q141" s="2"/>
      <c r="R141" s="2" t="s">
        <v>23</v>
      </c>
      <c r="S141" s="2" t="str">
        <f t="shared" si="29"/>
        <v>M8</v>
      </c>
      <c r="T141" s="2" t="s">
        <v>17</v>
      </c>
      <c r="U141" s="2" t="str">
        <f t="shared" si="40"/>
        <v>RESIGNED</v>
      </c>
      <c r="V141" s="2">
        <f t="shared" ca="1" si="30"/>
        <v>1118</v>
      </c>
      <c r="W141" s="2">
        <f t="shared" ca="1" si="31"/>
        <v>36</v>
      </c>
      <c r="X141" s="2">
        <f t="shared" ca="1" si="32"/>
        <v>3</v>
      </c>
      <c r="Y141" s="2"/>
      <c r="Z141" s="2"/>
      <c r="AA141" s="2" t="str">
        <f t="shared" ca="1" si="41"/>
        <v>OK</v>
      </c>
    </row>
    <row r="142" spans="1:27" x14ac:dyDescent="0.3">
      <c r="A142" s="2" t="s">
        <v>481</v>
      </c>
      <c r="B142" s="2" t="str">
        <f t="shared" si="33"/>
        <v>EMP141</v>
      </c>
      <c r="C142" s="2" t="s">
        <v>11</v>
      </c>
      <c r="D142" s="2" t="str">
        <f t="shared" si="34"/>
        <v>Ravi</v>
      </c>
      <c r="E142" s="2" t="s">
        <v>40</v>
      </c>
      <c r="F142" s="2" t="str">
        <f t="shared" si="35"/>
        <v>SALES</v>
      </c>
      <c r="G142" s="6" t="s">
        <v>394</v>
      </c>
      <c r="H142" s="8">
        <f t="shared" si="36"/>
        <v>45095</v>
      </c>
      <c r="I142" s="2" t="s">
        <v>482</v>
      </c>
      <c r="J142" s="3">
        <f t="shared" ca="1" si="37"/>
        <v>45341</v>
      </c>
      <c r="K142" s="2">
        <v>9250551491</v>
      </c>
      <c r="L142" s="2">
        <f t="shared" si="38"/>
        <v>9250551491</v>
      </c>
      <c r="M142" s="2" t="s">
        <v>15</v>
      </c>
      <c r="N142" s="2" t="str">
        <f t="shared" si="39"/>
        <v>amit@company.com</v>
      </c>
      <c r="O142" s="12">
        <v>50908</v>
      </c>
      <c r="P142" s="2" t="str">
        <f t="shared" si="28"/>
        <v>40K-60K</v>
      </c>
      <c r="Q142" s="2"/>
      <c r="R142" s="2" t="s">
        <v>135</v>
      </c>
      <c r="S142" s="2" t="str">
        <f t="shared" si="29"/>
        <v>M15</v>
      </c>
      <c r="T142" s="2" t="s">
        <v>17</v>
      </c>
      <c r="U142" s="2" t="str">
        <f t="shared" si="40"/>
        <v>RESIGNED</v>
      </c>
      <c r="V142" s="2">
        <f t="shared" ca="1" si="30"/>
        <v>246</v>
      </c>
      <c r="W142" s="2">
        <f t="shared" ca="1" si="31"/>
        <v>8</v>
      </c>
      <c r="X142" s="2">
        <f t="shared" ca="1" si="32"/>
        <v>0</v>
      </c>
      <c r="Y142" s="2"/>
      <c r="Z142" s="2"/>
      <c r="AA142" s="2" t="str">
        <f t="shared" ca="1" si="41"/>
        <v>OK</v>
      </c>
    </row>
    <row r="143" spans="1:27" x14ac:dyDescent="0.3">
      <c r="A143" s="2" t="s">
        <v>483</v>
      </c>
      <c r="B143" s="2" t="str">
        <f t="shared" si="33"/>
        <v>EMP142</v>
      </c>
      <c r="C143" s="2" t="s">
        <v>25</v>
      </c>
      <c r="D143" s="2" t="str">
        <f t="shared" si="34"/>
        <v>Ankit</v>
      </c>
      <c r="E143" s="2" t="s">
        <v>26</v>
      </c>
      <c r="F143" s="2" t="str">
        <f t="shared" si="35"/>
        <v>HR</v>
      </c>
      <c r="G143" s="6" t="s">
        <v>484</v>
      </c>
      <c r="H143" s="8">
        <f t="shared" si="36"/>
        <v>43943</v>
      </c>
      <c r="I143" s="2" t="s">
        <v>485</v>
      </c>
      <c r="J143" s="3">
        <f t="shared" ca="1" si="37"/>
        <v>45346</v>
      </c>
      <c r="K143" s="2">
        <v>9391772996</v>
      </c>
      <c r="L143" s="2">
        <f t="shared" si="38"/>
        <v>9391772996</v>
      </c>
      <c r="M143" s="2" t="s">
        <v>84</v>
      </c>
      <c r="N143" s="2" t="str">
        <f t="shared" si="39"/>
        <v>ankit@company.com</v>
      </c>
      <c r="O143" s="12">
        <v>18027</v>
      </c>
      <c r="P143" s="2" t="str">
        <f t="shared" si="28"/>
        <v>Below 20K</v>
      </c>
      <c r="Q143" s="2"/>
      <c r="R143" s="2" t="s">
        <v>242</v>
      </c>
      <c r="S143" s="2" t="str">
        <f t="shared" si="29"/>
        <v>M17</v>
      </c>
      <c r="T143" s="2" t="s">
        <v>37</v>
      </c>
      <c r="U143" s="2" t="str">
        <f t="shared" si="40"/>
        <v>ACTIVE</v>
      </c>
      <c r="V143" s="2">
        <f t="shared" ca="1" si="30"/>
        <v>1403</v>
      </c>
      <c r="W143" s="2">
        <f t="shared" ca="1" si="31"/>
        <v>46</v>
      </c>
      <c r="X143" s="2">
        <f t="shared" ca="1" si="32"/>
        <v>3</v>
      </c>
      <c r="Y143" s="2"/>
      <c r="Z143" s="2"/>
      <c r="AA143" s="2" t="str">
        <f t="shared" ca="1" si="41"/>
        <v>OK</v>
      </c>
    </row>
    <row r="144" spans="1:27" x14ac:dyDescent="0.3">
      <c r="A144" s="2" t="s">
        <v>486</v>
      </c>
      <c r="B144" s="2" t="str">
        <f t="shared" si="33"/>
        <v>EMP143</v>
      </c>
      <c r="C144" s="2" t="s">
        <v>161</v>
      </c>
      <c r="D144" s="2" t="str">
        <f t="shared" si="34"/>
        <v>Kiran</v>
      </c>
      <c r="E144" s="2" t="s">
        <v>19</v>
      </c>
      <c r="F144" s="2" t="str">
        <f t="shared" si="35"/>
        <v>FINANCE</v>
      </c>
      <c r="G144" s="6" t="s">
        <v>487</v>
      </c>
      <c r="H144" s="8">
        <f t="shared" si="36"/>
        <v>45142</v>
      </c>
      <c r="I144" s="2" t="s">
        <v>488</v>
      </c>
      <c r="J144" s="3">
        <f t="shared" ca="1" si="37"/>
        <v>45259</v>
      </c>
      <c r="K144" s="2">
        <v>9113871794</v>
      </c>
      <c r="L144" s="2">
        <f t="shared" si="38"/>
        <v>9113871794</v>
      </c>
      <c r="M144" s="2" t="s">
        <v>22</v>
      </c>
      <c r="N144" s="2" t="str">
        <f t="shared" si="39"/>
        <v>pooja@company.com</v>
      </c>
      <c r="O144" s="12">
        <v>78849</v>
      </c>
      <c r="P144" s="2" t="str">
        <f t="shared" si="28"/>
        <v>60K-80K</v>
      </c>
      <c r="Q144" s="2"/>
      <c r="R144" s="2" t="s">
        <v>212</v>
      </c>
      <c r="S144" s="2" t="str">
        <f t="shared" si="29"/>
        <v>M18</v>
      </c>
      <c r="T144" s="2" t="s">
        <v>31</v>
      </c>
      <c r="U144" s="2" t="str">
        <f t="shared" si="40"/>
        <v>ON HOLD</v>
      </c>
      <c r="V144" s="2">
        <f t="shared" ca="1" si="30"/>
        <v>117</v>
      </c>
      <c r="W144" s="2">
        <f t="shared" ca="1" si="31"/>
        <v>3</v>
      </c>
      <c r="X144" s="2">
        <f t="shared" ca="1" si="32"/>
        <v>0</v>
      </c>
      <c r="Y144" s="2"/>
      <c r="Z144" s="2"/>
      <c r="AA144" s="2" t="str">
        <f t="shared" ca="1" si="41"/>
        <v>OK</v>
      </c>
    </row>
    <row r="145" spans="1:27" x14ac:dyDescent="0.3">
      <c r="A145" s="2" t="s">
        <v>489</v>
      </c>
      <c r="B145" s="2" t="str">
        <f t="shared" si="33"/>
        <v>EMP144</v>
      </c>
      <c r="C145" s="2" t="s">
        <v>115</v>
      </c>
      <c r="D145" s="2" t="str">
        <f t="shared" si="34"/>
        <v>Rahul</v>
      </c>
      <c r="E145" s="2" t="s">
        <v>26</v>
      </c>
      <c r="F145" s="2" t="str">
        <f t="shared" si="35"/>
        <v>HR</v>
      </c>
      <c r="G145" s="6" t="s">
        <v>490</v>
      </c>
      <c r="H145" s="8">
        <f t="shared" si="36"/>
        <v>43510</v>
      </c>
      <c r="I145" s="2" t="s">
        <v>491</v>
      </c>
      <c r="J145" s="3">
        <f t="shared" ca="1" si="37"/>
        <v>44560</v>
      </c>
      <c r="K145" s="2">
        <v>9514885864</v>
      </c>
      <c r="L145" s="2">
        <f t="shared" si="38"/>
        <v>9514885864</v>
      </c>
      <c r="M145" s="2" t="s">
        <v>94</v>
      </c>
      <c r="N145" s="2" t="str">
        <f t="shared" si="39"/>
        <v>suresh@gmail.com</v>
      </c>
      <c r="O145" s="12">
        <v>79370</v>
      </c>
      <c r="P145" s="2" t="str">
        <f t="shared" si="28"/>
        <v>60K-80K</v>
      </c>
      <c r="Q145" s="2"/>
      <c r="R145" s="2" t="s">
        <v>492</v>
      </c>
      <c r="S145" s="2" t="str">
        <f t="shared" si="29"/>
        <v>M23</v>
      </c>
      <c r="T145" s="2" t="s">
        <v>149</v>
      </c>
      <c r="U145" s="2" t="str">
        <f t="shared" si="40"/>
        <v>ACTIVE</v>
      </c>
      <c r="V145" s="2">
        <f t="shared" ca="1" si="30"/>
        <v>1050</v>
      </c>
      <c r="W145" s="2">
        <f t="shared" ca="1" si="31"/>
        <v>34</v>
      </c>
      <c r="X145" s="2">
        <f t="shared" ca="1" si="32"/>
        <v>2</v>
      </c>
      <c r="Y145" s="2"/>
      <c r="Z145" s="2"/>
      <c r="AA145" s="2" t="str">
        <f t="shared" ca="1" si="41"/>
        <v>OK</v>
      </c>
    </row>
    <row r="146" spans="1:27" x14ac:dyDescent="0.3">
      <c r="A146" s="2" t="s">
        <v>493</v>
      </c>
      <c r="B146" s="2" t="str">
        <f t="shared" si="33"/>
        <v>EMP145</v>
      </c>
      <c r="C146" s="2" t="s">
        <v>47</v>
      </c>
      <c r="D146" s="2" t="str">
        <f t="shared" si="34"/>
        <v>Sunita</v>
      </c>
      <c r="E146" s="2" t="s">
        <v>48</v>
      </c>
      <c r="F146" s="2" t="str">
        <f t="shared" si="35"/>
        <v>FINANCE</v>
      </c>
      <c r="G146" s="6" t="s">
        <v>494</v>
      </c>
      <c r="H146" s="8">
        <f t="shared" si="36"/>
        <v>43520</v>
      </c>
      <c r="I146" s="2" t="s">
        <v>495</v>
      </c>
      <c r="J146" s="3">
        <f t="shared" ca="1" si="37"/>
        <v>43989</v>
      </c>
      <c r="K146" s="2">
        <v>9623266099</v>
      </c>
      <c r="L146" s="2">
        <f t="shared" si="38"/>
        <v>9623266099</v>
      </c>
      <c r="M146" s="2" t="s">
        <v>43</v>
      </c>
      <c r="N146" s="2" t="str">
        <f t="shared" si="39"/>
        <v>ravi@company.com</v>
      </c>
      <c r="O146" s="12">
        <v>50107</v>
      </c>
      <c r="P146" s="2" t="str">
        <f t="shared" si="28"/>
        <v>40K-60K</v>
      </c>
      <c r="Q146" s="2"/>
      <c r="R146" s="2" t="s">
        <v>75</v>
      </c>
      <c r="S146" s="2" t="str">
        <f t="shared" si="29"/>
        <v>M12</v>
      </c>
      <c r="T146" s="2" t="s">
        <v>31</v>
      </c>
      <c r="U146" s="2" t="str">
        <f t="shared" si="40"/>
        <v>ON HOLD</v>
      </c>
      <c r="V146" s="2">
        <f t="shared" ca="1" si="30"/>
        <v>469</v>
      </c>
      <c r="W146" s="2">
        <f t="shared" ca="1" si="31"/>
        <v>15</v>
      </c>
      <c r="X146" s="2">
        <f t="shared" ca="1" si="32"/>
        <v>1</v>
      </c>
      <c r="Y146" s="2"/>
      <c r="Z146" s="2"/>
      <c r="AA146" s="2" t="str">
        <f t="shared" ca="1" si="41"/>
        <v>OK</v>
      </c>
    </row>
    <row r="147" spans="1:27" x14ac:dyDescent="0.3">
      <c r="A147" s="2" t="s">
        <v>496</v>
      </c>
      <c r="B147" s="2" t="str">
        <f t="shared" si="33"/>
        <v>EMP146</v>
      </c>
      <c r="C147" s="2" t="s">
        <v>115</v>
      </c>
      <c r="D147" s="2" t="str">
        <f t="shared" si="34"/>
        <v>Rahul</v>
      </c>
      <c r="E147" s="2" t="s">
        <v>40</v>
      </c>
      <c r="F147" s="2" t="str">
        <f t="shared" si="35"/>
        <v>SALES</v>
      </c>
      <c r="G147" s="6" t="s">
        <v>497</v>
      </c>
      <c r="H147" s="8">
        <f t="shared" si="36"/>
        <v>44066</v>
      </c>
      <c r="I147" s="2" t="s">
        <v>498</v>
      </c>
      <c r="J147" s="3">
        <f t="shared" ca="1" si="37"/>
        <v>45149</v>
      </c>
      <c r="K147" s="2">
        <v>9748934561</v>
      </c>
      <c r="L147" s="2">
        <f t="shared" si="38"/>
        <v>9748934561</v>
      </c>
      <c r="M147" s="2" t="s">
        <v>29</v>
      </c>
      <c r="N147" s="2" t="str">
        <f t="shared" si="39"/>
        <v>suresh@company.com</v>
      </c>
      <c r="O147" s="12">
        <v>66879</v>
      </c>
      <c r="P147" s="2" t="str">
        <f t="shared" si="28"/>
        <v>60K-80K</v>
      </c>
      <c r="Q147" s="2"/>
      <c r="R147" s="2" t="s">
        <v>85</v>
      </c>
      <c r="S147" s="2" t="str">
        <f t="shared" si="29"/>
        <v>M24</v>
      </c>
      <c r="T147" s="2" t="s">
        <v>17</v>
      </c>
      <c r="U147" s="2" t="str">
        <f t="shared" si="40"/>
        <v>RESIGNED</v>
      </c>
      <c r="V147" s="2">
        <f t="shared" ca="1" si="30"/>
        <v>1083</v>
      </c>
      <c r="W147" s="2">
        <f t="shared" ca="1" si="31"/>
        <v>35</v>
      </c>
      <c r="X147" s="2">
        <f t="shared" ca="1" si="32"/>
        <v>2</v>
      </c>
      <c r="Y147" s="2"/>
      <c r="Z147" s="2"/>
      <c r="AA147" s="2" t="str">
        <f t="shared" ca="1" si="41"/>
        <v>OK</v>
      </c>
    </row>
    <row r="148" spans="1:27" x14ac:dyDescent="0.3">
      <c r="A148" s="2" t="s">
        <v>499</v>
      </c>
      <c r="B148" s="2" t="str">
        <f t="shared" si="33"/>
        <v>EMP147</v>
      </c>
      <c r="C148" s="2" t="s">
        <v>39</v>
      </c>
      <c r="D148" s="2" t="str">
        <f t="shared" si="34"/>
        <v>Amit</v>
      </c>
      <c r="E148" s="2" t="s">
        <v>19</v>
      </c>
      <c r="F148" s="2" t="str">
        <f t="shared" si="35"/>
        <v>FINANCE</v>
      </c>
      <c r="G148" s="6" t="s">
        <v>500</v>
      </c>
      <c r="H148" s="8">
        <f t="shared" si="36"/>
        <v>43810</v>
      </c>
      <c r="I148" s="2"/>
      <c r="J148" s="3">
        <f t="shared" ca="1" si="37"/>
        <v>46024</v>
      </c>
      <c r="K148" s="2">
        <v>9944548286</v>
      </c>
      <c r="L148" s="2">
        <f t="shared" si="38"/>
        <v>9944548286</v>
      </c>
      <c r="M148" s="2" t="s">
        <v>43</v>
      </c>
      <c r="N148" s="2" t="str">
        <f t="shared" si="39"/>
        <v>ravi@company.com</v>
      </c>
      <c r="O148" s="12">
        <v>90588</v>
      </c>
      <c r="P148" s="2" t="str">
        <f t="shared" si="28"/>
        <v>Above 80K</v>
      </c>
      <c r="Q148" s="2"/>
      <c r="R148" s="2" t="s">
        <v>341</v>
      </c>
      <c r="S148" s="2" t="str">
        <f t="shared" si="29"/>
        <v>M22</v>
      </c>
      <c r="T148" s="2" t="s">
        <v>37</v>
      </c>
      <c r="U148" s="2" t="str">
        <f t="shared" si="40"/>
        <v>ACTIVE</v>
      </c>
      <c r="V148" s="2">
        <f t="shared" ca="1" si="30"/>
        <v>2214</v>
      </c>
      <c r="W148" s="2">
        <f t="shared" ca="1" si="31"/>
        <v>72</v>
      </c>
      <c r="X148" s="2">
        <f t="shared" ca="1" si="32"/>
        <v>6</v>
      </c>
      <c r="Y148" s="2"/>
      <c r="Z148" s="2"/>
      <c r="AA148" s="2" t="str">
        <f t="shared" ca="1" si="41"/>
        <v>OK</v>
      </c>
    </row>
    <row r="149" spans="1:27" x14ac:dyDescent="0.3">
      <c r="A149" s="2" t="s">
        <v>501</v>
      </c>
      <c r="B149" s="2" t="str">
        <f t="shared" si="33"/>
        <v>EMP148</v>
      </c>
      <c r="C149" s="2" t="s">
        <v>96</v>
      </c>
      <c r="D149" s="2" t="str">
        <f t="shared" si="34"/>
        <v>Neha</v>
      </c>
      <c r="E149" s="2" t="s">
        <v>26</v>
      </c>
      <c r="F149" s="2" t="str">
        <f t="shared" si="35"/>
        <v>HR</v>
      </c>
      <c r="G149" s="6" t="s">
        <v>491</v>
      </c>
      <c r="H149" s="8">
        <f t="shared" si="36"/>
        <v>44560</v>
      </c>
      <c r="I149" s="2" t="s">
        <v>502</v>
      </c>
      <c r="J149" s="3">
        <f t="shared" ca="1" si="37"/>
        <v>44939</v>
      </c>
      <c r="K149" s="2">
        <v>9458080545</v>
      </c>
      <c r="L149" s="2">
        <f t="shared" si="38"/>
        <v>9458080545</v>
      </c>
      <c r="M149" s="2" t="s">
        <v>43</v>
      </c>
      <c r="N149" s="2" t="str">
        <f t="shared" si="39"/>
        <v>ravi@company.com</v>
      </c>
      <c r="O149" s="12">
        <v>57312</v>
      </c>
      <c r="P149" s="2" t="str">
        <f t="shared" si="28"/>
        <v>40K-60K</v>
      </c>
      <c r="Q149" s="2"/>
      <c r="R149" s="2" t="s">
        <v>142</v>
      </c>
      <c r="S149" s="2" t="str">
        <f t="shared" si="29"/>
        <v>M23</v>
      </c>
      <c r="T149" s="2" t="s">
        <v>17</v>
      </c>
      <c r="U149" s="2" t="str">
        <f t="shared" si="40"/>
        <v>RESIGNED</v>
      </c>
      <c r="V149" s="2">
        <f t="shared" ca="1" si="30"/>
        <v>379</v>
      </c>
      <c r="W149" s="2">
        <f t="shared" ca="1" si="31"/>
        <v>12</v>
      </c>
      <c r="X149" s="2">
        <f t="shared" ca="1" si="32"/>
        <v>1</v>
      </c>
      <c r="Y149" s="2"/>
      <c r="Z149" s="2"/>
      <c r="AA149" s="2" t="str">
        <f t="shared" ca="1" si="41"/>
        <v>OK</v>
      </c>
    </row>
    <row r="150" spans="1:27" x14ac:dyDescent="0.3">
      <c r="A150" s="2" t="s">
        <v>503</v>
      </c>
      <c r="B150" s="2" t="str">
        <f t="shared" si="33"/>
        <v>EMP149</v>
      </c>
      <c r="C150" s="2" t="s">
        <v>81</v>
      </c>
      <c r="D150" s="2" t="str">
        <f t="shared" si="34"/>
        <v>Suresh</v>
      </c>
      <c r="E150" s="2" t="s">
        <v>26</v>
      </c>
      <c r="F150" s="2" t="str">
        <f t="shared" si="35"/>
        <v>HR</v>
      </c>
      <c r="G150" s="6" t="s">
        <v>504</v>
      </c>
      <c r="H150" s="8">
        <f t="shared" si="36"/>
        <v>43911</v>
      </c>
      <c r="I150" s="2" t="s">
        <v>505</v>
      </c>
      <c r="J150" s="3">
        <f t="shared" ca="1" si="37"/>
        <v>44315</v>
      </c>
      <c r="K150" s="2">
        <v>9142668901</v>
      </c>
      <c r="L150" s="2">
        <f t="shared" si="38"/>
        <v>9142668901</v>
      </c>
      <c r="M150" s="2" t="s">
        <v>107</v>
      </c>
      <c r="N150" s="2" t="str">
        <f t="shared" si="39"/>
        <v>vikas@company.com</v>
      </c>
      <c r="O150" s="12">
        <v>16531</v>
      </c>
      <c r="P150" s="2" t="str">
        <f t="shared" si="28"/>
        <v>Below 20K</v>
      </c>
      <c r="Q150" s="2"/>
      <c r="R150" s="2" t="s">
        <v>341</v>
      </c>
      <c r="S150" s="2" t="str">
        <f t="shared" si="29"/>
        <v>M22</v>
      </c>
      <c r="T150" s="2" t="s">
        <v>31</v>
      </c>
      <c r="U150" s="2" t="str">
        <f t="shared" si="40"/>
        <v>ON HOLD</v>
      </c>
      <c r="V150" s="2">
        <f t="shared" ca="1" si="30"/>
        <v>404</v>
      </c>
      <c r="W150" s="2">
        <f t="shared" ca="1" si="31"/>
        <v>13</v>
      </c>
      <c r="X150" s="2">
        <f t="shared" ca="1" si="32"/>
        <v>1</v>
      </c>
      <c r="Y150" s="2"/>
      <c r="Z150" s="2"/>
      <c r="AA150" s="2" t="str">
        <f t="shared" ca="1" si="41"/>
        <v>OK</v>
      </c>
    </row>
    <row r="151" spans="1:27" x14ac:dyDescent="0.3">
      <c r="A151" s="2" t="s">
        <v>506</v>
      </c>
      <c r="B151" s="2" t="str">
        <f t="shared" si="33"/>
        <v>EMP150</v>
      </c>
      <c r="C151" s="2" t="s">
        <v>96</v>
      </c>
      <c r="D151" s="2" t="str">
        <f t="shared" si="34"/>
        <v>Neha</v>
      </c>
      <c r="E151" s="2" t="s">
        <v>12</v>
      </c>
      <c r="F151" s="2" t="str">
        <f t="shared" si="35"/>
        <v>IT</v>
      </c>
      <c r="G151" s="6" t="s">
        <v>507</v>
      </c>
      <c r="H151" s="8">
        <f t="shared" si="36"/>
        <v>44066</v>
      </c>
      <c r="I151" s="2" t="s">
        <v>508</v>
      </c>
      <c r="J151" s="3">
        <f t="shared" ca="1" si="37"/>
        <v>45214</v>
      </c>
      <c r="K151" s="2">
        <v>9149143665</v>
      </c>
      <c r="L151" s="2">
        <f t="shared" si="38"/>
        <v>9149143665</v>
      </c>
      <c r="M151" s="2" t="s">
        <v>15</v>
      </c>
      <c r="N151" s="2" t="str">
        <f t="shared" si="39"/>
        <v>amit@company.com</v>
      </c>
      <c r="O151" s="12">
        <v>55610</v>
      </c>
      <c r="P151" s="2" t="str">
        <f t="shared" si="28"/>
        <v>40K-60K</v>
      </c>
      <c r="Q151" s="2"/>
      <c r="R151" s="2" t="s">
        <v>205</v>
      </c>
      <c r="S151" s="2" t="str">
        <f t="shared" si="29"/>
        <v>M21</v>
      </c>
      <c r="T151" s="2" t="s">
        <v>37</v>
      </c>
      <c r="U151" s="2" t="str">
        <f t="shared" si="40"/>
        <v>ACTIVE</v>
      </c>
      <c r="V151" s="2">
        <f t="shared" ca="1" si="30"/>
        <v>1148</v>
      </c>
      <c r="W151" s="2">
        <f t="shared" ca="1" si="31"/>
        <v>37</v>
      </c>
      <c r="X151" s="2">
        <f t="shared" ca="1" si="32"/>
        <v>3</v>
      </c>
      <c r="Y151" s="2"/>
      <c r="Z151" s="2"/>
      <c r="AA151" s="2" t="str">
        <f t="shared" ca="1" si="41"/>
        <v>OK</v>
      </c>
    </row>
    <row r="152" spans="1:27" x14ac:dyDescent="0.3">
      <c r="A152" s="2" t="s">
        <v>509</v>
      </c>
      <c r="B152" s="2" t="str">
        <f t="shared" si="33"/>
        <v>EMP151</v>
      </c>
      <c r="C152" s="2" t="s">
        <v>39</v>
      </c>
      <c r="D152" s="2" t="str">
        <f t="shared" si="34"/>
        <v>Amit</v>
      </c>
      <c r="E152" s="2" t="s">
        <v>129</v>
      </c>
      <c r="F152" s="2" t="str">
        <f t="shared" si="35"/>
        <v>SALES</v>
      </c>
      <c r="G152" s="6" t="s">
        <v>306</v>
      </c>
      <c r="H152" s="8">
        <f t="shared" si="36"/>
        <v>43574</v>
      </c>
      <c r="I152" s="2" t="s">
        <v>510</v>
      </c>
      <c r="J152" s="3">
        <f t="shared" ca="1" si="37"/>
        <v>44618</v>
      </c>
      <c r="K152" s="2">
        <v>9325091238</v>
      </c>
      <c r="L152" s="2">
        <f t="shared" si="38"/>
        <v>9325091238</v>
      </c>
      <c r="M152" s="2" t="s">
        <v>84</v>
      </c>
      <c r="N152" s="2" t="str">
        <f t="shared" si="39"/>
        <v>ankit@company.com</v>
      </c>
      <c r="O152" s="12">
        <v>14215</v>
      </c>
      <c r="P152" s="2" t="str">
        <f t="shared" si="28"/>
        <v>Below 20K</v>
      </c>
      <c r="Q152" s="2"/>
      <c r="R152" s="2" t="s">
        <v>75</v>
      </c>
      <c r="S152" s="2" t="str">
        <f t="shared" si="29"/>
        <v>M12</v>
      </c>
      <c r="T152" s="2" t="s">
        <v>45</v>
      </c>
      <c r="U152" s="2" t="str">
        <f t="shared" si="40"/>
        <v>RESIGNED</v>
      </c>
      <c r="V152" s="2">
        <f t="shared" ca="1" si="30"/>
        <v>1044</v>
      </c>
      <c r="W152" s="2">
        <f t="shared" ca="1" si="31"/>
        <v>34</v>
      </c>
      <c r="X152" s="2">
        <f t="shared" ca="1" si="32"/>
        <v>2</v>
      </c>
      <c r="Y152" s="2"/>
      <c r="Z152" s="2"/>
      <c r="AA152" s="2" t="str">
        <f t="shared" ca="1" si="41"/>
        <v>OK</v>
      </c>
    </row>
    <row r="153" spans="1:27" x14ac:dyDescent="0.3">
      <c r="A153" s="2" t="s">
        <v>511</v>
      </c>
      <c r="B153" s="2" t="str">
        <f t="shared" si="33"/>
        <v>EMP152</v>
      </c>
      <c r="C153" s="2" t="s">
        <v>11</v>
      </c>
      <c r="D153" s="2" t="str">
        <f t="shared" si="34"/>
        <v>Ravi</v>
      </c>
      <c r="E153" s="2" t="s">
        <v>40</v>
      </c>
      <c r="F153" s="2" t="str">
        <f t="shared" si="35"/>
        <v>SALES</v>
      </c>
      <c r="G153" s="6" t="s">
        <v>512</v>
      </c>
      <c r="H153" s="8">
        <f t="shared" si="36"/>
        <v>44312</v>
      </c>
      <c r="I153" s="2" t="s">
        <v>513</v>
      </c>
      <c r="J153" s="3">
        <f t="shared" ca="1" si="37"/>
        <v>45195</v>
      </c>
      <c r="K153" s="2">
        <v>9103060842</v>
      </c>
      <c r="L153" s="2">
        <f t="shared" si="38"/>
        <v>9103060842</v>
      </c>
      <c r="M153" s="2" t="s">
        <v>514</v>
      </c>
      <c r="N153" s="2" t="str">
        <f t="shared" si="39"/>
        <v>vikas@gmail.com</v>
      </c>
      <c r="O153" s="12">
        <v>44943</v>
      </c>
      <c r="P153" s="2" t="str">
        <f t="shared" si="28"/>
        <v>40K-60K</v>
      </c>
      <c r="Q153" s="2"/>
      <c r="R153" s="2" t="s">
        <v>85</v>
      </c>
      <c r="S153" s="2" t="str">
        <f t="shared" si="29"/>
        <v>M24</v>
      </c>
      <c r="T153" s="2" t="s">
        <v>45</v>
      </c>
      <c r="U153" s="2" t="str">
        <f t="shared" si="40"/>
        <v>RESIGNED</v>
      </c>
      <c r="V153" s="2">
        <f t="shared" ca="1" si="30"/>
        <v>883</v>
      </c>
      <c r="W153" s="2">
        <f t="shared" ca="1" si="31"/>
        <v>29</v>
      </c>
      <c r="X153" s="2">
        <f t="shared" ca="1" si="32"/>
        <v>2</v>
      </c>
      <c r="Y153" s="2"/>
      <c r="Z153" s="2"/>
      <c r="AA153" s="2" t="str">
        <f t="shared" ca="1" si="41"/>
        <v>OK</v>
      </c>
    </row>
    <row r="154" spans="1:27" x14ac:dyDescent="0.3">
      <c r="A154" s="2" t="s">
        <v>515</v>
      </c>
      <c r="B154" s="2" t="str">
        <f t="shared" si="33"/>
        <v>EMP153</v>
      </c>
      <c r="C154" s="2" t="s">
        <v>104</v>
      </c>
      <c r="D154" s="2" t="str">
        <f t="shared" si="34"/>
        <v>Vikas</v>
      </c>
      <c r="E154" s="2" t="s">
        <v>57</v>
      </c>
      <c r="F154" s="2" t="str">
        <f t="shared" si="35"/>
        <v>HR</v>
      </c>
      <c r="G154" s="6" t="s">
        <v>516</v>
      </c>
      <c r="H154" s="8">
        <f t="shared" si="36"/>
        <v>44029</v>
      </c>
      <c r="I154" s="2" t="s">
        <v>517</v>
      </c>
      <c r="J154" s="3">
        <f t="shared" ca="1" si="37"/>
        <v>44324</v>
      </c>
      <c r="K154" s="2">
        <v>9464646624</v>
      </c>
      <c r="L154" s="2">
        <f t="shared" si="38"/>
        <v>9464646624</v>
      </c>
      <c r="M154" s="2" t="s">
        <v>43</v>
      </c>
      <c r="N154" s="2" t="str">
        <f t="shared" si="39"/>
        <v>ravi@company.com</v>
      </c>
      <c r="O154" s="12">
        <v>92877</v>
      </c>
      <c r="P154" s="2" t="str">
        <f t="shared" si="28"/>
        <v>Above 80K</v>
      </c>
      <c r="Q154" s="2"/>
      <c r="R154" s="2" t="s">
        <v>518</v>
      </c>
      <c r="S154" s="2" t="str">
        <f t="shared" si="29"/>
        <v>M12</v>
      </c>
      <c r="T154" s="2" t="s">
        <v>31</v>
      </c>
      <c r="U154" s="2" t="str">
        <f t="shared" si="40"/>
        <v>ON HOLD</v>
      </c>
      <c r="V154" s="2">
        <f t="shared" ca="1" si="30"/>
        <v>295</v>
      </c>
      <c r="W154" s="2">
        <f t="shared" ca="1" si="31"/>
        <v>9</v>
      </c>
      <c r="X154" s="2">
        <f t="shared" ca="1" si="32"/>
        <v>0</v>
      </c>
      <c r="Y154" s="2"/>
      <c r="Z154" s="2"/>
      <c r="AA154" s="2" t="str">
        <f t="shared" ca="1" si="41"/>
        <v>CHECK</v>
      </c>
    </row>
    <row r="155" spans="1:27" x14ac:dyDescent="0.3">
      <c r="A155" s="2" t="s">
        <v>519</v>
      </c>
      <c r="B155" s="2" t="str">
        <f t="shared" si="33"/>
        <v>EMP154</v>
      </c>
      <c r="C155" s="2" t="s">
        <v>96</v>
      </c>
      <c r="D155" s="2" t="str">
        <f t="shared" si="34"/>
        <v>Neha</v>
      </c>
      <c r="E155" s="2" t="s">
        <v>48</v>
      </c>
      <c r="F155" s="2" t="str">
        <f t="shared" si="35"/>
        <v>FINANCE</v>
      </c>
      <c r="G155" s="6" t="s">
        <v>520</v>
      </c>
      <c r="H155" s="8">
        <f t="shared" si="36"/>
        <v>43621</v>
      </c>
      <c r="I155" s="2"/>
      <c r="J155" s="3">
        <f t="shared" ca="1" si="37"/>
        <v>46024</v>
      </c>
      <c r="K155" s="2">
        <v>9553996952</v>
      </c>
      <c r="L155" s="2">
        <f t="shared" si="38"/>
        <v>9553996952</v>
      </c>
      <c r="M155" s="2" t="s">
        <v>84</v>
      </c>
      <c r="N155" s="2" t="str">
        <f t="shared" si="39"/>
        <v>ankit@company.com</v>
      </c>
      <c r="O155" s="12">
        <v>57384</v>
      </c>
      <c r="P155" s="2" t="str">
        <f t="shared" si="28"/>
        <v>40K-60K</v>
      </c>
      <c r="Q155" s="2"/>
      <c r="R155" s="2" t="s">
        <v>79</v>
      </c>
      <c r="S155" s="2" t="str">
        <f t="shared" si="29"/>
        <v>M20</v>
      </c>
      <c r="T155" s="2" t="s">
        <v>31</v>
      </c>
      <c r="U155" s="2" t="str">
        <f t="shared" si="40"/>
        <v>ON HOLD</v>
      </c>
      <c r="V155" s="2">
        <f t="shared" ca="1" si="30"/>
        <v>2403</v>
      </c>
      <c r="W155" s="2">
        <f t="shared" ca="1" si="31"/>
        <v>78</v>
      </c>
      <c r="X155" s="2">
        <f t="shared" ca="1" si="32"/>
        <v>6</v>
      </c>
      <c r="Y155" s="2"/>
      <c r="Z155" s="2"/>
      <c r="AA155" s="2" t="str">
        <f t="shared" ca="1" si="41"/>
        <v>OK</v>
      </c>
    </row>
    <row r="156" spans="1:27" x14ac:dyDescent="0.3">
      <c r="A156" s="2" t="s">
        <v>521</v>
      </c>
      <c r="B156" s="2" t="str">
        <f t="shared" si="33"/>
        <v>EMP155</v>
      </c>
      <c r="C156" s="2" t="s">
        <v>96</v>
      </c>
      <c r="D156" s="2" t="str">
        <f t="shared" si="34"/>
        <v>Neha</v>
      </c>
      <c r="E156" s="2" t="s">
        <v>40</v>
      </c>
      <c r="F156" s="2" t="str">
        <f t="shared" si="35"/>
        <v>SALES</v>
      </c>
      <c r="G156" s="6" t="s">
        <v>522</v>
      </c>
      <c r="H156" s="8">
        <f t="shared" si="36"/>
        <v>44624</v>
      </c>
      <c r="I156" s="2" t="s">
        <v>523</v>
      </c>
      <c r="J156" s="3">
        <f t="shared" ca="1" si="37"/>
        <v>45555</v>
      </c>
      <c r="K156" s="2">
        <v>9360637312</v>
      </c>
      <c r="L156" s="2">
        <f t="shared" si="38"/>
        <v>9360637312</v>
      </c>
      <c r="M156" s="2" t="s">
        <v>29</v>
      </c>
      <c r="N156" s="2" t="str">
        <f t="shared" si="39"/>
        <v>suresh@company.com</v>
      </c>
      <c r="O156" s="12">
        <v>55815</v>
      </c>
      <c r="P156" s="2" t="str">
        <f t="shared" si="28"/>
        <v>40K-60K</v>
      </c>
      <c r="Q156" s="2"/>
      <c r="R156" s="2" t="s">
        <v>127</v>
      </c>
      <c r="S156" s="2" t="str">
        <f t="shared" si="29"/>
        <v>M19</v>
      </c>
      <c r="T156" s="2" t="s">
        <v>37</v>
      </c>
      <c r="U156" s="2" t="str">
        <f t="shared" si="40"/>
        <v>ACTIVE</v>
      </c>
      <c r="V156" s="2">
        <f t="shared" ca="1" si="30"/>
        <v>931</v>
      </c>
      <c r="W156" s="2">
        <f t="shared" ca="1" si="31"/>
        <v>30</v>
      </c>
      <c r="X156" s="2">
        <f t="shared" ca="1" si="32"/>
        <v>2</v>
      </c>
      <c r="Y156" s="2"/>
      <c r="Z156" s="2"/>
      <c r="AA156" s="2" t="str">
        <f t="shared" ca="1" si="41"/>
        <v>OK</v>
      </c>
    </row>
    <row r="157" spans="1:27" x14ac:dyDescent="0.3">
      <c r="A157" s="2" t="s">
        <v>524</v>
      </c>
      <c r="B157" s="2" t="str">
        <f t="shared" si="33"/>
        <v>EMP156</v>
      </c>
      <c r="C157" s="2" t="s">
        <v>39</v>
      </c>
      <c r="D157" s="2" t="str">
        <f t="shared" si="34"/>
        <v>Amit</v>
      </c>
      <c r="E157" s="2" t="s">
        <v>129</v>
      </c>
      <c r="F157" s="2" t="str">
        <f t="shared" si="35"/>
        <v>SALES</v>
      </c>
      <c r="G157" s="6" t="s">
        <v>525</v>
      </c>
      <c r="H157" s="8">
        <f t="shared" si="36"/>
        <v>44371</v>
      </c>
      <c r="I157" s="2" t="s">
        <v>526</v>
      </c>
      <c r="J157" s="3">
        <f t="shared" ca="1" si="37"/>
        <v>45400</v>
      </c>
      <c r="K157" s="2">
        <v>9903418703</v>
      </c>
      <c r="L157" s="2">
        <f t="shared" si="38"/>
        <v>9903418703</v>
      </c>
      <c r="M157" s="2" t="s">
        <v>36</v>
      </c>
      <c r="N157" s="2" t="str">
        <f t="shared" si="39"/>
        <v>neha@company.com</v>
      </c>
      <c r="O157" s="12">
        <v>32204</v>
      </c>
      <c r="P157" s="2" t="str">
        <f t="shared" si="28"/>
        <v>20K-40K</v>
      </c>
      <c r="Q157" s="2"/>
      <c r="R157" s="2" t="s">
        <v>242</v>
      </c>
      <c r="S157" s="2" t="str">
        <f t="shared" si="29"/>
        <v>M17</v>
      </c>
      <c r="T157" s="2" t="s">
        <v>31</v>
      </c>
      <c r="U157" s="2" t="str">
        <f t="shared" si="40"/>
        <v>ON HOLD</v>
      </c>
      <c r="V157" s="2">
        <f t="shared" ca="1" si="30"/>
        <v>1029</v>
      </c>
      <c r="W157" s="2">
        <f t="shared" ca="1" si="31"/>
        <v>33</v>
      </c>
      <c r="X157" s="2">
        <f t="shared" ca="1" si="32"/>
        <v>2</v>
      </c>
      <c r="Y157" s="2"/>
      <c r="Z157" s="2"/>
      <c r="AA157" s="2" t="str">
        <f t="shared" ca="1" si="41"/>
        <v>OK</v>
      </c>
    </row>
    <row r="158" spans="1:27" x14ac:dyDescent="0.3">
      <c r="A158" s="2" t="s">
        <v>527</v>
      </c>
      <c r="B158" s="2" t="str">
        <f t="shared" si="33"/>
        <v>EMP157</v>
      </c>
      <c r="C158" s="2" t="s">
        <v>25</v>
      </c>
      <c r="D158" s="2" t="str">
        <f t="shared" si="34"/>
        <v>Ankit</v>
      </c>
      <c r="E158" s="2" t="s">
        <v>19</v>
      </c>
      <c r="F158" s="2" t="str">
        <f t="shared" si="35"/>
        <v>FINANCE</v>
      </c>
      <c r="G158" s="6" t="s">
        <v>528</v>
      </c>
      <c r="H158" s="8">
        <f t="shared" si="36"/>
        <v>45206</v>
      </c>
      <c r="I158" s="2" t="s">
        <v>529</v>
      </c>
      <c r="J158" s="3">
        <f t="shared" ca="1" si="37"/>
        <v>46148</v>
      </c>
      <c r="K158" s="2">
        <v>9403672175</v>
      </c>
      <c r="L158" s="2">
        <f t="shared" si="38"/>
        <v>9403672175</v>
      </c>
      <c r="M158" s="2" t="s">
        <v>107</v>
      </c>
      <c r="N158" s="2" t="str">
        <f t="shared" si="39"/>
        <v>vikas@company.com</v>
      </c>
      <c r="O158" s="12">
        <v>36157</v>
      </c>
      <c r="P158" s="2" t="str">
        <f t="shared" si="28"/>
        <v>20K-40K</v>
      </c>
      <c r="Q158" s="2"/>
      <c r="R158" s="2" t="s">
        <v>122</v>
      </c>
      <c r="S158" s="2" t="str">
        <f t="shared" si="29"/>
        <v>M5</v>
      </c>
      <c r="T158" s="2" t="s">
        <v>149</v>
      </c>
      <c r="U158" s="2" t="str">
        <f t="shared" si="40"/>
        <v>ACTIVE</v>
      </c>
      <c r="V158" s="2">
        <f t="shared" ca="1" si="30"/>
        <v>942</v>
      </c>
      <c r="W158" s="2">
        <f t="shared" ca="1" si="31"/>
        <v>30</v>
      </c>
      <c r="X158" s="2">
        <f t="shared" ca="1" si="32"/>
        <v>2</v>
      </c>
      <c r="Y158" s="2"/>
      <c r="Z158" s="2"/>
      <c r="AA158" s="2" t="str">
        <f t="shared" ca="1" si="41"/>
        <v>OK</v>
      </c>
    </row>
    <row r="159" spans="1:27" x14ac:dyDescent="0.3">
      <c r="A159" s="2" t="s">
        <v>530</v>
      </c>
      <c r="B159" s="2" t="str">
        <f t="shared" si="33"/>
        <v>EMP158</v>
      </c>
      <c r="C159" s="2" t="s">
        <v>115</v>
      </c>
      <c r="D159" s="2" t="str">
        <f t="shared" si="34"/>
        <v>Rahul</v>
      </c>
      <c r="E159" s="2" t="s">
        <v>57</v>
      </c>
      <c r="F159" s="2" t="str">
        <f t="shared" si="35"/>
        <v>HR</v>
      </c>
      <c r="G159" s="6" t="s">
        <v>531</v>
      </c>
      <c r="H159" s="8">
        <f t="shared" si="36"/>
        <v>44246</v>
      </c>
      <c r="I159" s="2" t="s">
        <v>532</v>
      </c>
      <c r="J159" s="3">
        <f t="shared" ca="1" si="37"/>
        <v>44360</v>
      </c>
      <c r="K159" s="2">
        <v>9586009592</v>
      </c>
      <c r="L159" s="2">
        <f t="shared" si="38"/>
        <v>9586009592</v>
      </c>
      <c r="M159" s="2" t="s">
        <v>51</v>
      </c>
      <c r="N159" s="2" t="str">
        <f t="shared" si="39"/>
        <v>kiran@company.com</v>
      </c>
      <c r="O159" s="12">
        <v>33924</v>
      </c>
      <c r="P159" s="2" t="str">
        <f t="shared" si="28"/>
        <v>20K-40K</v>
      </c>
      <c r="Q159" s="2"/>
      <c r="R159" s="2" t="s">
        <v>55</v>
      </c>
      <c r="S159" s="2" t="str">
        <f t="shared" si="29"/>
        <v>M2</v>
      </c>
      <c r="T159" s="2" t="s">
        <v>31</v>
      </c>
      <c r="U159" s="2" t="str">
        <f t="shared" si="40"/>
        <v>ON HOLD</v>
      </c>
      <c r="V159" s="2">
        <f t="shared" ca="1" si="30"/>
        <v>114</v>
      </c>
      <c r="W159" s="2">
        <f t="shared" ca="1" si="31"/>
        <v>3</v>
      </c>
      <c r="X159" s="2">
        <f t="shared" ca="1" si="32"/>
        <v>0</v>
      </c>
      <c r="Y159" s="2"/>
      <c r="Z159" s="2"/>
      <c r="AA159" s="2" t="str">
        <f t="shared" ca="1" si="41"/>
        <v>OK</v>
      </c>
    </row>
    <row r="160" spans="1:27" x14ac:dyDescent="0.3">
      <c r="A160" s="2" t="s">
        <v>533</v>
      </c>
      <c r="B160" s="2" t="str">
        <f t="shared" si="33"/>
        <v>EMP159</v>
      </c>
      <c r="C160" s="2" t="s">
        <v>161</v>
      </c>
      <c r="D160" s="2" t="str">
        <f t="shared" si="34"/>
        <v>Kiran</v>
      </c>
      <c r="E160" s="2" t="s">
        <v>48</v>
      </c>
      <c r="F160" s="2" t="str">
        <f t="shared" si="35"/>
        <v>FINANCE</v>
      </c>
      <c r="G160" s="6" t="s">
        <v>534</v>
      </c>
      <c r="H160" s="8">
        <f t="shared" si="36"/>
        <v>44425</v>
      </c>
      <c r="I160" s="2" t="s">
        <v>535</v>
      </c>
      <c r="J160" s="3">
        <f t="shared" ca="1" si="37"/>
        <v>44766</v>
      </c>
      <c r="K160" s="2">
        <v>9305546097</v>
      </c>
      <c r="L160" s="2">
        <f t="shared" si="38"/>
        <v>9305546097</v>
      </c>
      <c r="M160" s="2" t="s">
        <v>29</v>
      </c>
      <c r="N160" s="2" t="str">
        <f t="shared" si="39"/>
        <v>suresh@company.com</v>
      </c>
      <c r="O160" s="12">
        <v>20656</v>
      </c>
      <c r="P160" s="2" t="str">
        <f t="shared" si="28"/>
        <v>20K-40K</v>
      </c>
      <c r="Q160" s="2"/>
      <c r="R160" s="2" t="s">
        <v>23</v>
      </c>
      <c r="S160" s="2" t="str">
        <f t="shared" si="29"/>
        <v>M8</v>
      </c>
      <c r="T160" s="2" t="s">
        <v>149</v>
      </c>
      <c r="U160" s="2" t="str">
        <f t="shared" si="40"/>
        <v>ACTIVE</v>
      </c>
      <c r="V160" s="2">
        <f t="shared" ca="1" si="30"/>
        <v>341</v>
      </c>
      <c r="W160" s="2">
        <f t="shared" ca="1" si="31"/>
        <v>11</v>
      </c>
      <c r="X160" s="2">
        <f t="shared" ca="1" si="32"/>
        <v>0</v>
      </c>
      <c r="Y160" s="2"/>
      <c r="Z160" s="2"/>
      <c r="AA160" s="2" t="str">
        <f t="shared" ca="1" si="41"/>
        <v>OK</v>
      </c>
    </row>
    <row r="161" spans="1:27" x14ac:dyDescent="0.3">
      <c r="A161" s="2" t="s">
        <v>536</v>
      </c>
      <c r="B161" s="2" t="str">
        <f t="shared" si="33"/>
        <v>EMP160</v>
      </c>
      <c r="C161" s="2" t="s">
        <v>104</v>
      </c>
      <c r="D161" s="2" t="str">
        <f t="shared" si="34"/>
        <v>Vikas</v>
      </c>
      <c r="E161" s="2" t="s">
        <v>129</v>
      </c>
      <c r="F161" s="2" t="str">
        <f t="shared" si="35"/>
        <v>SALES</v>
      </c>
      <c r="G161" s="6" t="s">
        <v>194</v>
      </c>
      <c r="H161" s="8">
        <f t="shared" si="36"/>
        <v>44256</v>
      </c>
      <c r="I161" s="2" t="s">
        <v>537</v>
      </c>
      <c r="J161" s="3">
        <f t="shared" ca="1" si="37"/>
        <v>45040</v>
      </c>
      <c r="K161" s="2">
        <v>9197805202</v>
      </c>
      <c r="L161" s="2">
        <f t="shared" si="38"/>
        <v>9197805202</v>
      </c>
      <c r="M161" s="2" t="s">
        <v>283</v>
      </c>
      <c r="N161" s="2" t="str">
        <f t="shared" si="39"/>
        <v>ravi@gmail.com</v>
      </c>
      <c r="O161" s="12">
        <v>45014</v>
      </c>
      <c r="P161" s="2" t="str">
        <f t="shared" si="28"/>
        <v>40K-60K</v>
      </c>
      <c r="Q161" s="2"/>
      <c r="R161" s="2" t="s">
        <v>142</v>
      </c>
      <c r="S161" s="2" t="str">
        <f t="shared" si="29"/>
        <v>M23</v>
      </c>
      <c r="T161" s="2" t="s">
        <v>45</v>
      </c>
      <c r="U161" s="2" t="str">
        <f t="shared" si="40"/>
        <v>RESIGNED</v>
      </c>
      <c r="V161" s="2">
        <f t="shared" ca="1" si="30"/>
        <v>784</v>
      </c>
      <c r="W161" s="2">
        <f t="shared" ca="1" si="31"/>
        <v>25</v>
      </c>
      <c r="X161" s="2">
        <f t="shared" ca="1" si="32"/>
        <v>2</v>
      </c>
      <c r="Y161" s="2"/>
      <c r="Z161" s="2"/>
      <c r="AA161" s="2" t="str">
        <f t="shared" ca="1" si="41"/>
        <v>OK</v>
      </c>
    </row>
    <row r="162" spans="1:27" x14ac:dyDescent="0.3">
      <c r="A162" s="2" t="s">
        <v>538</v>
      </c>
      <c r="B162" s="2" t="str">
        <f t="shared" si="33"/>
        <v>EMP161</v>
      </c>
      <c r="C162" s="2" t="s">
        <v>39</v>
      </c>
      <c r="D162" s="2" t="str">
        <f t="shared" si="34"/>
        <v>Amit</v>
      </c>
      <c r="E162" s="2" t="s">
        <v>57</v>
      </c>
      <c r="F162" s="2" t="str">
        <f t="shared" si="35"/>
        <v>HR</v>
      </c>
      <c r="G162" s="6" t="s">
        <v>522</v>
      </c>
      <c r="H162" s="8">
        <f t="shared" si="36"/>
        <v>44624</v>
      </c>
      <c r="I162" s="2"/>
      <c r="J162" s="3">
        <f t="shared" ca="1" si="37"/>
        <v>46024</v>
      </c>
      <c r="K162" s="2">
        <v>9321019621</v>
      </c>
      <c r="L162" s="2">
        <f t="shared" si="38"/>
        <v>9321019621</v>
      </c>
      <c r="M162" s="2" t="s">
        <v>22</v>
      </c>
      <c r="N162" s="2" t="str">
        <f t="shared" si="39"/>
        <v>pooja@company.com</v>
      </c>
      <c r="O162" s="12">
        <v>34705</v>
      </c>
      <c r="P162" s="2" t="str">
        <f t="shared" si="28"/>
        <v>20K-40K</v>
      </c>
      <c r="Q162" s="2"/>
      <c r="R162" s="2" t="s">
        <v>71</v>
      </c>
      <c r="S162" s="2" t="str">
        <f t="shared" si="29"/>
        <v>M14</v>
      </c>
      <c r="T162" s="2" t="s">
        <v>31</v>
      </c>
      <c r="U162" s="2" t="str">
        <f t="shared" si="40"/>
        <v>ON HOLD</v>
      </c>
      <c r="V162" s="2">
        <f t="shared" ca="1" si="30"/>
        <v>1400</v>
      </c>
      <c r="W162" s="2">
        <f t="shared" ca="1" si="31"/>
        <v>45</v>
      </c>
      <c r="X162" s="2">
        <f t="shared" ca="1" si="32"/>
        <v>3</v>
      </c>
      <c r="Y162" s="2"/>
      <c r="Z162" s="2"/>
      <c r="AA162" s="2" t="str">
        <f t="shared" ca="1" si="41"/>
        <v>OK</v>
      </c>
    </row>
    <row r="163" spans="1:27" x14ac:dyDescent="0.3">
      <c r="A163" s="2" t="s">
        <v>539</v>
      </c>
      <c r="B163" s="2" t="str">
        <f t="shared" si="33"/>
        <v>EMP162</v>
      </c>
      <c r="C163" s="2" t="s">
        <v>25</v>
      </c>
      <c r="D163" s="2" t="str">
        <f t="shared" si="34"/>
        <v>Ankit</v>
      </c>
      <c r="E163" s="2" t="s">
        <v>129</v>
      </c>
      <c r="F163" s="2" t="str">
        <f t="shared" si="35"/>
        <v>SALES</v>
      </c>
      <c r="G163" s="6" t="s">
        <v>507</v>
      </c>
      <c r="H163" s="8">
        <f t="shared" si="36"/>
        <v>44066</v>
      </c>
      <c r="I163" s="2" t="s">
        <v>540</v>
      </c>
      <c r="J163" s="3">
        <f t="shared" ca="1" si="37"/>
        <v>45556</v>
      </c>
      <c r="K163" s="2">
        <v>9922103068</v>
      </c>
      <c r="L163" s="2">
        <f t="shared" si="38"/>
        <v>9922103068</v>
      </c>
      <c r="M163" s="2" t="s">
        <v>15</v>
      </c>
      <c r="N163" s="2" t="str">
        <f t="shared" si="39"/>
        <v>amit@company.com</v>
      </c>
      <c r="O163" s="12">
        <v>15298</v>
      </c>
      <c r="P163" s="2" t="str">
        <f t="shared" si="28"/>
        <v>Below 20K</v>
      </c>
      <c r="Q163" s="2"/>
      <c r="R163" s="2" t="s">
        <v>518</v>
      </c>
      <c r="S163" s="2" t="str">
        <f t="shared" si="29"/>
        <v>M12</v>
      </c>
      <c r="T163" s="2" t="s">
        <v>31</v>
      </c>
      <c r="U163" s="2" t="str">
        <f t="shared" si="40"/>
        <v>ON HOLD</v>
      </c>
      <c r="V163" s="2">
        <f t="shared" ca="1" si="30"/>
        <v>1490</v>
      </c>
      <c r="W163" s="2">
        <f t="shared" ca="1" si="31"/>
        <v>48</v>
      </c>
      <c r="X163" s="2">
        <f t="shared" ca="1" si="32"/>
        <v>4</v>
      </c>
      <c r="Y163" s="2"/>
      <c r="Z163" s="2"/>
      <c r="AA163" s="2" t="str">
        <f t="shared" ca="1" si="41"/>
        <v>OK</v>
      </c>
    </row>
    <row r="164" spans="1:27" x14ac:dyDescent="0.3">
      <c r="A164" s="2" t="s">
        <v>541</v>
      </c>
      <c r="B164" s="2" t="str">
        <f t="shared" si="33"/>
        <v>EMP163</v>
      </c>
      <c r="C164" s="2" t="s">
        <v>161</v>
      </c>
      <c r="D164" s="2" t="str">
        <f t="shared" si="34"/>
        <v>Kiran</v>
      </c>
      <c r="E164" s="2" t="s">
        <v>33</v>
      </c>
      <c r="F164" s="2" t="str">
        <f t="shared" si="35"/>
        <v>IT</v>
      </c>
      <c r="G164" s="6" t="s">
        <v>542</v>
      </c>
      <c r="H164" s="8">
        <f t="shared" si="36"/>
        <v>44701</v>
      </c>
      <c r="I164" s="2" t="s">
        <v>543</v>
      </c>
      <c r="J164" s="3">
        <f t="shared" ca="1" si="37"/>
        <v>45638</v>
      </c>
      <c r="K164" s="2">
        <v>9419965013</v>
      </c>
      <c r="L164" s="2">
        <f t="shared" si="38"/>
        <v>9419965013</v>
      </c>
      <c r="M164" s="2" t="s">
        <v>84</v>
      </c>
      <c r="N164" s="2" t="str">
        <f t="shared" si="39"/>
        <v>ankit@company.com</v>
      </c>
      <c r="O164" s="12">
        <v>24099</v>
      </c>
      <c r="P164" s="2" t="str">
        <f t="shared" si="28"/>
        <v>20K-40K</v>
      </c>
      <c r="Q164" s="2"/>
      <c r="R164" s="2" t="s">
        <v>142</v>
      </c>
      <c r="S164" s="2" t="str">
        <f t="shared" si="29"/>
        <v>M23</v>
      </c>
      <c r="T164" s="2" t="s">
        <v>149</v>
      </c>
      <c r="U164" s="2" t="str">
        <f t="shared" si="40"/>
        <v>ACTIVE</v>
      </c>
      <c r="V164" s="2">
        <f t="shared" ca="1" si="30"/>
        <v>937</v>
      </c>
      <c r="W164" s="2">
        <f t="shared" ca="1" si="31"/>
        <v>30</v>
      </c>
      <c r="X164" s="2">
        <f t="shared" ca="1" si="32"/>
        <v>2</v>
      </c>
      <c r="Y164" s="2"/>
      <c r="Z164" s="2"/>
      <c r="AA164" s="2" t="str">
        <f t="shared" ca="1" si="41"/>
        <v>OK</v>
      </c>
    </row>
    <row r="165" spans="1:27" x14ac:dyDescent="0.3">
      <c r="A165" s="2" t="s">
        <v>544</v>
      </c>
      <c r="B165" s="2" t="str">
        <f t="shared" si="33"/>
        <v>EMP164</v>
      </c>
      <c r="C165" s="2" t="s">
        <v>161</v>
      </c>
      <c r="D165" s="2" t="str">
        <f t="shared" si="34"/>
        <v>Kiran</v>
      </c>
      <c r="E165" s="2" t="s">
        <v>57</v>
      </c>
      <c r="F165" s="2" t="str">
        <f t="shared" si="35"/>
        <v>HR</v>
      </c>
      <c r="G165" s="6" t="s">
        <v>545</v>
      </c>
      <c r="H165" s="8">
        <f t="shared" si="36"/>
        <v>44793</v>
      </c>
      <c r="I165" s="2" t="s">
        <v>546</v>
      </c>
      <c r="J165" s="3">
        <f t="shared" ca="1" si="37"/>
        <v>45700</v>
      </c>
      <c r="K165" s="2">
        <v>9935521152</v>
      </c>
      <c r="L165" s="2">
        <f t="shared" si="38"/>
        <v>9935521152</v>
      </c>
      <c r="M165" s="2" t="s">
        <v>29</v>
      </c>
      <c r="N165" s="2" t="str">
        <f t="shared" si="39"/>
        <v>suresh@company.com</v>
      </c>
      <c r="O165" s="12">
        <v>56644</v>
      </c>
      <c r="P165" s="2" t="str">
        <f t="shared" si="28"/>
        <v>40K-60K</v>
      </c>
      <c r="Q165" s="2"/>
      <c r="R165" s="2" t="s">
        <v>205</v>
      </c>
      <c r="S165" s="2" t="str">
        <f t="shared" si="29"/>
        <v>M21</v>
      </c>
      <c r="T165" s="2" t="s">
        <v>31</v>
      </c>
      <c r="U165" s="2" t="str">
        <f t="shared" si="40"/>
        <v>ON HOLD</v>
      </c>
      <c r="V165" s="2">
        <f t="shared" ca="1" si="30"/>
        <v>907</v>
      </c>
      <c r="W165" s="2">
        <f t="shared" ca="1" si="31"/>
        <v>29</v>
      </c>
      <c r="X165" s="2">
        <f t="shared" ca="1" si="32"/>
        <v>2</v>
      </c>
      <c r="Y165" s="2"/>
      <c r="Z165" s="2"/>
      <c r="AA165" s="2" t="str">
        <f t="shared" ca="1" si="41"/>
        <v>OK</v>
      </c>
    </row>
    <row r="166" spans="1:27" x14ac:dyDescent="0.3">
      <c r="A166" s="2" t="s">
        <v>547</v>
      </c>
      <c r="B166" s="2" t="str">
        <f t="shared" si="33"/>
        <v>EMP165</v>
      </c>
      <c r="C166" s="2" t="s">
        <v>115</v>
      </c>
      <c r="D166" s="2" t="str">
        <f t="shared" si="34"/>
        <v>Rahul</v>
      </c>
      <c r="E166" s="2" t="s">
        <v>48</v>
      </c>
      <c r="F166" s="2" t="str">
        <f t="shared" si="35"/>
        <v>FINANCE</v>
      </c>
      <c r="G166" s="6" t="s">
        <v>548</v>
      </c>
      <c r="H166" s="8">
        <f t="shared" si="36"/>
        <v>44166</v>
      </c>
      <c r="I166" s="2" t="s">
        <v>549</v>
      </c>
      <c r="J166" s="3">
        <f t="shared" ca="1" si="37"/>
        <v>45580</v>
      </c>
      <c r="K166" s="2">
        <v>9517257798</v>
      </c>
      <c r="L166" s="2">
        <f t="shared" si="38"/>
        <v>9517257798</v>
      </c>
      <c r="M166" s="2" t="s">
        <v>15</v>
      </c>
      <c r="N166" s="2" t="str">
        <f t="shared" si="39"/>
        <v>amit@company.com</v>
      </c>
      <c r="O166" s="12">
        <v>58303</v>
      </c>
      <c r="P166" s="2" t="str">
        <f t="shared" si="28"/>
        <v>40K-60K</v>
      </c>
      <c r="Q166" s="2"/>
      <c r="R166" s="2" t="s">
        <v>55</v>
      </c>
      <c r="S166" s="2" t="str">
        <f t="shared" si="29"/>
        <v>M2</v>
      </c>
      <c r="T166" s="2" t="s">
        <v>37</v>
      </c>
      <c r="U166" s="2" t="str">
        <f t="shared" si="40"/>
        <v>ACTIVE</v>
      </c>
      <c r="V166" s="2">
        <f t="shared" ca="1" si="30"/>
        <v>1414</v>
      </c>
      <c r="W166" s="2">
        <f t="shared" ca="1" si="31"/>
        <v>46</v>
      </c>
      <c r="X166" s="2">
        <f t="shared" ca="1" si="32"/>
        <v>3</v>
      </c>
      <c r="Y166" s="2"/>
      <c r="Z166" s="2"/>
      <c r="AA166" s="2" t="str">
        <f t="shared" ca="1" si="41"/>
        <v>OK</v>
      </c>
    </row>
    <row r="167" spans="1:27" x14ac:dyDescent="0.3">
      <c r="A167" s="2" t="s">
        <v>550</v>
      </c>
      <c r="B167" s="2" t="str">
        <f t="shared" si="33"/>
        <v>EMP166</v>
      </c>
      <c r="C167" s="2" t="s">
        <v>25</v>
      </c>
      <c r="D167" s="2" t="str">
        <f t="shared" si="34"/>
        <v>Ankit</v>
      </c>
      <c r="E167" s="2" t="s">
        <v>12</v>
      </c>
      <c r="F167" s="2" t="str">
        <f t="shared" si="35"/>
        <v>IT</v>
      </c>
      <c r="G167" s="6" t="s">
        <v>551</v>
      </c>
      <c r="H167" s="8">
        <f t="shared" si="36"/>
        <v>43912</v>
      </c>
      <c r="I167" s="2" t="s">
        <v>552</v>
      </c>
      <c r="J167" s="3">
        <f t="shared" ca="1" si="37"/>
        <v>44731</v>
      </c>
      <c r="K167" s="2">
        <v>9134367329</v>
      </c>
      <c r="L167" s="2">
        <f t="shared" si="38"/>
        <v>9134367329</v>
      </c>
      <c r="M167" s="2" t="s">
        <v>22</v>
      </c>
      <c r="N167" s="2" t="str">
        <f t="shared" si="39"/>
        <v>pooja@company.com</v>
      </c>
      <c r="O167" s="12">
        <v>29967</v>
      </c>
      <c r="P167" s="2" t="str">
        <f t="shared" si="28"/>
        <v>20K-40K</v>
      </c>
      <c r="Q167" s="2"/>
      <c r="R167" s="2" t="s">
        <v>75</v>
      </c>
      <c r="S167" s="2" t="str">
        <f t="shared" si="29"/>
        <v>M12</v>
      </c>
      <c r="T167" s="2" t="s">
        <v>37</v>
      </c>
      <c r="U167" s="2" t="str">
        <f t="shared" si="40"/>
        <v>ACTIVE</v>
      </c>
      <c r="V167" s="2">
        <f t="shared" ca="1" si="30"/>
        <v>819</v>
      </c>
      <c r="W167" s="2">
        <f t="shared" ca="1" si="31"/>
        <v>26</v>
      </c>
      <c r="X167" s="2">
        <f t="shared" ca="1" si="32"/>
        <v>2</v>
      </c>
      <c r="Y167" s="2"/>
      <c r="Z167" s="2"/>
      <c r="AA167" s="2" t="str">
        <f t="shared" ca="1" si="41"/>
        <v>OK</v>
      </c>
    </row>
    <row r="168" spans="1:27" x14ac:dyDescent="0.3">
      <c r="A168" s="2" t="s">
        <v>553</v>
      </c>
      <c r="B168" s="2" t="str">
        <f t="shared" si="33"/>
        <v>EMP167</v>
      </c>
      <c r="C168" s="2" t="s">
        <v>161</v>
      </c>
      <c r="D168" s="2" t="str">
        <f t="shared" si="34"/>
        <v>Kiran</v>
      </c>
      <c r="E168" s="2" t="s">
        <v>40</v>
      </c>
      <c r="F168" s="2" t="str">
        <f t="shared" si="35"/>
        <v>SALES</v>
      </c>
      <c r="G168" s="6" t="s">
        <v>554</v>
      </c>
      <c r="H168" s="8">
        <f t="shared" si="36"/>
        <v>44799</v>
      </c>
      <c r="I168" s="2" t="s">
        <v>555</v>
      </c>
      <c r="J168" s="3">
        <f t="shared" ca="1" si="37"/>
        <v>45971</v>
      </c>
      <c r="K168" s="2">
        <v>9518555401</v>
      </c>
      <c r="L168" s="2">
        <f t="shared" si="38"/>
        <v>9518555401</v>
      </c>
      <c r="M168" s="2" t="s">
        <v>22</v>
      </c>
      <c r="N168" s="2" t="str">
        <f t="shared" si="39"/>
        <v>pooja@company.com</v>
      </c>
      <c r="O168" s="12">
        <v>13035</v>
      </c>
      <c r="P168" s="2" t="str">
        <f t="shared" si="28"/>
        <v>Below 20K</v>
      </c>
      <c r="Q168" s="2"/>
      <c r="R168" s="2" t="s">
        <v>358</v>
      </c>
      <c r="S168" s="2" t="str">
        <f t="shared" si="29"/>
        <v>M1</v>
      </c>
      <c r="T168" s="2" t="s">
        <v>45</v>
      </c>
      <c r="U168" s="2" t="str">
        <f t="shared" si="40"/>
        <v>RESIGNED</v>
      </c>
      <c r="V168" s="2">
        <f t="shared" ca="1" si="30"/>
        <v>1172</v>
      </c>
      <c r="W168" s="2">
        <f t="shared" ca="1" si="31"/>
        <v>38</v>
      </c>
      <c r="X168" s="2">
        <f t="shared" ca="1" si="32"/>
        <v>3</v>
      </c>
      <c r="Y168" s="2"/>
      <c r="Z168" s="2"/>
      <c r="AA168" s="2" t="str">
        <f t="shared" ca="1" si="41"/>
        <v>OK</v>
      </c>
    </row>
    <row r="169" spans="1:27" x14ac:dyDescent="0.3">
      <c r="A169" s="2" t="s">
        <v>556</v>
      </c>
      <c r="B169" s="2" t="str">
        <f t="shared" si="33"/>
        <v>EMP168</v>
      </c>
      <c r="C169" s="2" t="s">
        <v>115</v>
      </c>
      <c r="D169" s="2" t="str">
        <f t="shared" si="34"/>
        <v>Rahul</v>
      </c>
      <c r="E169" s="2" t="s">
        <v>57</v>
      </c>
      <c r="F169" s="2" t="str">
        <f t="shared" si="35"/>
        <v>HR</v>
      </c>
      <c r="G169" s="6" t="s">
        <v>557</v>
      </c>
      <c r="H169" s="8">
        <f t="shared" si="36"/>
        <v>43922</v>
      </c>
      <c r="I169" s="2"/>
      <c r="J169" s="3">
        <f t="shared" ca="1" si="37"/>
        <v>46024</v>
      </c>
      <c r="K169" s="2">
        <v>9102133323</v>
      </c>
      <c r="L169" s="2">
        <f t="shared" si="38"/>
        <v>9102133323</v>
      </c>
      <c r="M169" s="2" t="s">
        <v>514</v>
      </c>
      <c r="N169" s="2" t="str">
        <f t="shared" si="39"/>
        <v>vikas@gmail.com</v>
      </c>
      <c r="O169" s="12">
        <v>77926</v>
      </c>
      <c r="P169" s="2" t="str">
        <f t="shared" si="28"/>
        <v>60K-80K</v>
      </c>
      <c r="Q169" s="2"/>
      <c r="R169" s="2" t="s">
        <v>23</v>
      </c>
      <c r="S169" s="2" t="str">
        <f t="shared" si="29"/>
        <v>M8</v>
      </c>
      <c r="T169" s="2" t="s">
        <v>37</v>
      </c>
      <c r="U169" s="2" t="str">
        <f t="shared" si="40"/>
        <v>ACTIVE</v>
      </c>
      <c r="V169" s="2">
        <f t="shared" ca="1" si="30"/>
        <v>2102</v>
      </c>
      <c r="W169" s="2">
        <f t="shared" ca="1" si="31"/>
        <v>69</v>
      </c>
      <c r="X169" s="2">
        <f t="shared" ca="1" si="32"/>
        <v>5</v>
      </c>
      <c r="Y169" s="2"/>
      <c r="Z169" s="2"/>
      <c r="AA169" s="2" t="str">
        <f t="shared" ca="1" si="41"/>
        <v>OK</v>
      </c>
    </row>
    <row r="170" spans="1:27" x14ac:dyDescent="0.3">
      <c r="A170" s="2" t="s">
        <v>558</v>
      </c>
      <c r="B170" s="2" t="str">
        <f t="shared" si="33"/>
        <v>EMP169</v>
      </c>
      <c r="C170" s="2" t="s">
        <v>47</v>
      </c>
      <c r="D170" s="2" t="str">
        <f t="shared" si="34"/>
        <v>Sunita</v>
      </c>
      <c r="E170" s="2" t="s">
        <v>48</v>
      </c>
      <c r="F170" s="2" t="str">
        <f t="shared" si="35"/>
        <v>FINANCE</v>
      </c>
      <c r="G170" s="6" t="s">
        <v>559</v>
      </c>
      <c r="H170" s="8">
        <f t="shared" si="36"/>
        <v>45249</v>
      </c>
      <c r="I170" s="2" t="s">
        <v>560</v>
      </c>
      <c r="J170" s="3">
        <f t="shared" ca="1" si="37"/>
        <v>45792</v>
      </c>
      <c r="K170" s="2">
        <v>9386403889</v>
      </c>
      <c r="L170" s="2">
        <f t="shared" si="38"/>
        <v>9386403889</v>
      </c>
      <c r="M170" s="2" t="s">
        <v>43</v>
      </c>
      <c r="N170" s="2" t="str">
        <f t="shared" si="39"/>
        <v>ravi@company.com</v>
      </c>
      <c r="O170" s="12">
        <v>74500</v>
      </c>
      <c r="P170" s="2" t="str">
        <f t="shared" si="28"/>
        <v>60K-80K</v>
      </c>
      <c r="Q170" s="2"/>
      <c r="R170" s="2" t="s">
        <v>135</v>
      </c>
      <c r="S170" s="2" t="str">
        <f t="shared" si="29"/>
        <v>M15</v>
      </c>
      <c r="T170" s="2" t="s">
        <v>17</v>
      </c>
      <c r="U170" s="2" t="str">
        <f t="shared" si="40"/>
        <v>RESIGNED</v>
      </c>
      <c r="V170" s="2">
        <f t="shared" ca="1" si="30"/>
        <v>543</v>
      </c>
      <c r="W170" s="2">
        <f t="shared" ca="1" si="31"/>
        <v>17</v>
      </c>
      <c r="X170" s="2">
        <f t="shared" ca="1" si="32"/>
        <v>1</v>
      </c>
      <c r="Y170" s="2"/>
      <c r="Z170" s="2"/>
      <c r="AA170" s="2" t="str">
        <f t="shared" ca="1" si="41"/>
        <v>OK</v>
      </c>
    </row>
    <row r="171" spans="1:27" x14ac:dyDescent="0.3">
      <c r="A171" s="2" t="s">
        <v>561</v>
      </c>
      <c r="B171" s="2" t="str">
        <f t="shared" si="33"/>
        <v>EMP170</v>
      </c>
      <c r="C171" s="2" t="s">
        <v>47</v>
      </c>
      <c r="D171" s="2" t="str">
        <f t="shared" si="34"/>
        <v>Sunita</v>
      </c>
      <c r="E171" s="2" t="s">
        <v>26</v>
      </c>
      <c r="F171" s="2" t="str">
        <f t="shared" si="35"/>
        <v>HR</v>
      </c>
      <c r="G171" s="6" t="s">
        <v>562</v>
      </c>
      <c r="H171" s="8">
        <f t="shared" si="36"/>
        <v>45184</v>
      </c>
      <c r="I171" s="2" t="s">
        <v>563</v>
      </c>
      <c r="J171" s="3">
        <f t="shared" ca="1" si="37"/>
        <v>45322</v>
      </c>
      <c r="K171" s="2">
        <v>9713815464</v>
      </c>
      <c r="L171" s="2">
        <f t="shared" si="38"/>
        <v>9713815464</v>
      </c>
      <c r="M171" s="2" t="s">
        <v>51</v>
      </c>
      <c r="N171" s="2" t="str">
        <f t="shared" si="39"/>
        <v>kiran@company.com</v>
      </c>
      <c r="O171" s="12">
        <v>45570</v>
      </c>
      <c r="P171" s="2" t="str">
        <f t="shared" si="28"/>
        <v>40K-60K</v>
      </c>
      <c r="Q171" s="2"/>
      <c r="R171" s="2" t="s">
        <v>235</v>
      </c>
      <c r="S171" s="2" t="str">
        <f t="shared" si="29"/>
        <v>M25</v>
      </c>
      <c r="T171" s="2" t="s">
        <v>149</v>
      </c>
      <c r="U171" s="2" t="str">
        <f t="shared" si="40"/>
        <v>ACTIVE</v>
      </c>
      <c r="V171" s="2">
        <f t="shared" ca="1" si="30"/>
        <v>138</v>
      </c>
      <c r="W171" s="2">
        <f t="shared" ca="1" si="31"/>
        <v>4</v>
      </c>
      <c r="X171" s="2">
        <f t="shared" ca="1" si="32"/>
        <v>0</v>
      </c>
      <c r="Y171" s="2"/>
      <c r="Z171" s="2"/>
      <c r="AA171" s="2" t="str">
        <f t="shared" ca="1" si="41"/>
        <v>OK</v>
      </c>
    </row>
    <row r="172" spans="1:27" x14ac:dyDescent="0.3">
      <c r="A172" s="2" t="s">
        <v>564</v>
      </c>
      <c r="B172" s="2" t="str">
        <f t="shared" si="33"/>
        <v>EMP171</v>
      </c>
      <c r="C172" s="2" t="s">
        <v>81</v>
      </c>
      <c r="D172" s="2" t="str">
        <f t="shared" si="34"/>
        <v>Suresh</v>
      </c>
      <c r="E172" s="2" t="s">
        <v>26</v>
      </c>
      <c r="F172" s="2" t="str">
        <f t="shared" si="35"/>
        <v>HR</v>
      </c>
      <c r="G172" s="6" t="s">
        <v>565</v>
      </c>
      <c r="H172" s="8">
        <f t="shared" si="36"/>
        <v>45030</v>
      </c>
      <c r="I172" s="2" t="s">
        <v>566</v>
      </c>
      <c r="J172" s="3">
        <f t="shared" ca="1" si="37"/>
        <v>46326</v>
      </c>
      <c r="K172" s="2">
        <v>9882599569</v>
      </c>
      <c r="L172" s="2">
        <f t="shared" si="38"/>
        <v>9882599569</v>
      </c>
      <c r="M172" s="2" t="s">
        <v>70</v>
      </c>
      <c r="N172" s="2" t="str">
        <f t="shared" si="39"/>
        <v>sunita@company.com</v>
      </c>
      <c r="O172" s="12">
        <v>41128</v>
      </c>
      <c r="P172" s="2" t="str">
        <f t="shared" si="28"/>
        <v>40K-60K</v>
      </c>
      <c r="Q172" s="2"/>
      <c r="R172" s="2" t="s">
        <v>567</v>
      </c>
      <c r="S172" s="2" t="str">
        <f t="shared" si="29"/>
        <v>M10</v>
      </c>
      <c r="T172" s="2" t="s">
        <v>31</v>
      </c>
      <c r="U172" s="2" t="str">
        <f t="shared" si="40"/>
        <v>ON HOLD</v>
      </c>
      <c r="V172" s="2">
        <f t="shared" ca="1" si="30"/>
        <v>1296</v>
      </c>
      <c r="W172" s="2">
        <f t="shared" ca="1" si="31"/>
        <v>42</v>
      </c>
      <c r="X172" s="2">
        <f t="shared" ca="1" si="32"/>
        <v>3</v>
      </c>
      <c r="Y172" s="2"/>
      <c r="Z172" s="2"/>
      <c r="AA172" s="2" t="str">
        <f t="shared" ca="1" si="41"/>
        <v>OK</v>
      </c>
    </row>
    <row r="173" spans="1:27" x14ac:dyDescent="0.3">
      <c r="A173" s="2" t="s">
        <v>568</v>
      </c>
      <c r="B173" s="2" t="str">
        <f t="shared" si="33"/>
        <v>EMP172</v>
      </c>
      <c r="C173" s="2" t="s">
        <v>81</v>
      </c>
      <c r="D173" s="2" t="str">
        <f t="shared" si="34"/>
        <v>Suresh</v>
      </c>
      <c r="E173" s="2" t="s">
        <v>33</v>
      </c>
      <c r="F173" s="2" t="str">
        <f t="shared" si="35"/>
        <v>IT</v>
      </c>
      <c r="G173" s="6" t="s">
        <v>569</v>
      </c>
      <c r="H173" s="8">
        <f t="shared" si="36"/>
        <v>44171</v>
      </c>
      <c r="I173" s="2" t="s">
        <v>570</v>
      </c>
      <c r="J173" s="3">
        <f t="shared" ca="1" si="37"/>
        <v>44381</v>
      </c>
      <c r="K173" s="2">
        <v>9671338855</v>
      </c>
      <c r="L173" s="2">
        <f t="shared" si="38"/>
        <v>9671338855</v>
      </c>
      <c r="M173" s="2" t="s">
        <v>107</v>
      </c>
      <c r="N173" s="2" t="str">
        <f t="shared" si="39"/>
        <v>vikas@company.com</v>
      </c>
      <c r="O173" s="12">
        <v>46858</v>
      </c>
      <c r="P173" s="2" t="str">
        <f t="shared" si="28"/>
        <v>40K-60K</v>
      </c>
      <c r="Q173" s="2"/>
      <c r="R173" s="2" t="s">
        <v>55</v>
      </c>
      <c r="S173" s="2" t="str">
        <f t="shared" si="29"/>
        <v>M2</v>
      </c>
      <c r="T173" s="2" t="s">
        <v>17</v>
      </c>
      <c r="U173" s="2" t="str">
        <f t="shared" si="40"/>
        <v>RESIGNED</v>
      </c>
      <c r="V173" s="2">
        <f t="shared" ca="1" si="30"/>
        <v>210</v>
      </c>
      <c r="W173" s="2">
        <f t="shared" ca="1" si="31"/>
        <v>6</v>
      </c>
      <c r="X173" s="2">
        <f t="shared" ca="1" si="32"/>
        <v>0</v>
      </c>
      <c r="Y173" s="2"/>
      <c r="Z173" s="2"/>
      <c r="AA173" s="2" t="str">
        <f t="shared" ca="1" si="41"/>
        <v>OK</v>
      </c>
    </row>
    <row r="174" spans="1:27" x14ac:dyDescent="0.3">
      <c r="A174" s="2" t="s">
        <v>571</v>
      </c>
      <c r="B174" s="2" t="str">
        <f t="shared" si="33"/>
        <v>EMP173</v>
      </c>
      <c r="C174" s="2" t="s">
        <v>11</v>
      </c>
      <c r="D174" s="2" t="str">
        <f t="shared" si="34"/>
        <v>Ravi</v>
      </c>
      <c r="E174" s="2" t="s">
        <v>12</v>
      </c>
      <c r="F174" s="2" t="str">
        <f t="shared" si="35"/>
        <v>IT</v>
      </c>
      <c r="G174" s="6" t="s">
        <v>572</v>
      </c>
      <c r="H174" s="8">
        <f t="shared" si="36"/>
        <v>44150</v>
      </c>
      <c r="I174" s="2" t="s">
        <v>221</v>
      </c>
      <c r="J174" s="3">
        <f t="shared" ca="1" si="37"/>
        <v>44722</v>
      </c>
      <c r="K174" s="2">
        <v>9392957920</v>
      </c>
      <c r="L174" s="2">
        <f t="shared" si="38"/>
        <v>9392957920</v>
      </c>
      <c r="M174" s="2" t="s">
        <v>51</v>
      </c>
      <c r="N174" s="2" t="str">
        <f t="shared" si="39"/>
        <v>kiran@company.com</v>
      </c>
      <c r="O174" s="12">
        <v>81651</v>
      </c>
      <c r="P174" s="2" t="str">
        <f t="shared" si="28"/>
        <v>Above 80K</v>
      </c>
      <c r="Q174" s="2"/>
      <c r="R174" s="2" t="s">
        <v>166</v>
      </c>
      <c r="S174" s="2" t="str">
        <f t="shared" si="29"/>
        <v>M7</v>
      </c>
      <c r="T174" s="2" t="s">
        <v>149</v>
      </c>
      <c r="U174" s="2" t="str">
        <f t="shared" si="40"/>
        <v>ACTIVE</v>
      </c>
      <c r="V174" s="2">
        <f t="shared" ca="1" si="30"/>
        <v>572</v>
      </c>
      <c r="W174" s="2">
        <f t="shared" ca="1" si="31"/>
        <v>18</v>
      </c>
      <c r="X174" s="2">
        <f t="shared" ca="1" si="32"/>
        <v>1</v>
      </c>
      <c r="Y174" s="2"/>
      <c r="Z174" s="2"/>
      <c r="AA174" s="2" t="str">
        <f t="shared" ca="1" si="41"/>
        <v>CHECK</v>
      </c>
    </row>
    <row r="175" spans="1:27" x14ac:dyDescent="0.3">
      <c r="A175" s="2" t="s">
        <v>573</v>
      </c>
      <c r="B175" s="2" t="str">
        <f t="shared" si="33"/>
        <v>EMP174</v>
      </c>
      <c r="C175" s="2" t="s">
        <v>25</v>
      </c>
      <c r="D175" s="2" t="str">
        <f t="shared" si="34"/>
        <v>Ankit</v>
      </c>
      <c r="E175" s="2" t="s">
        <v>40</v>
      </c>
      <c r="F175" s="2" t="str">
        <f t="shared" si="35"/>
        <v>SALES</v>
      </c>
      <c r="G175" s="6" t="s">
        <v>574</v>
      </c>
      <c r="H175" s="8">
        <f t="shared" si="36"/>
        <v>45094</v>
      </c>
      <c r="I175" s="2" t="s">
        <v>575</v>
      </c>
      <c r="J175" s="3">
        <f t="shared" ca="1" si="37"/>
        <v>46274</v>
      </c>
      <c r="K175" s="2">
        <v>9555201280</v>
      </c>
      <c r="L175" s="2">
        <f t="shared" si="38"/>
        <v>9555201280</v>
      </c>
      <c r="M175" s="2" t="s">
        <v>51</v>
      </c>
      <c r="N175" s="2" t="str">
        <f t="shared" si="39"/>
        <v>kiran@company.com</v>
      </c>
      <c r="O175" s="12">
        <v>67106</v>
      </c>
      <c r="P175" s="2" t="str">
        <f t="shared" si="28"/>
        <v>60K-80K</v>
      </c>
      <c r="Q175" s="2"/>
      <c r="R175" s="2" t="s">
        <v>156</v>
      </c>
      <c r="S175" s="2" t="str">
        <f t="shared" si="29"/>
        <v>M6</v>
      </c>
      <c r="T175" s="2" t="s">
        <v>149</v>
      </c>
      <c r="U175" s="2" t="str">
        <f t="shared" si="40"/>
        <v>ACTIVE</v>
      </c>
      <c r="V175" s="2">
        <f t="shared" ca="1" si="30"/>
        <v>1180</v>
      </c>
      <c r="W175" s="2">
        <f t="shared" ca="1" si="31"/>
        <v>38</v>
      </c>
      <c r="X175" s="2">
        <f t="shared" ca="1" si="32"/>
        <v>3</v>
      </c>
      <c r="Y175" s="2"/>
      <c r="Z175" s="2"/>
      <c r="AA175" s="2" t="str">
        <f t="shared" ca="1" si="41"/>
        <v>OK</v>
      </c>
    </row>
    <row r="176" spans="1:27" x14ac:dyDescent="0.3">
      <c r="A176" s="2" t="s">
        <v>576</v>
      </c>
      <c r="B176" s="2" t="str">
        <f t="shared" si="33"/>
        <v>EMP175</v>
      </c>
      <c r="C176" s="2" t="s">
        <v>81</v>
      </c>
      <c r="D176" s="2" t="str">
        <f t="shared" si="34"/>
        <v>Suresh</v>
      </c>
      <c r="E176" s="2" t="s">
        <v>19</v>
      </c>
      <c r="F176" s="2" t="str">
        <f t="shared" si="35"/>
        <v>FINANCE</v>
      </c>
      <c r="G176" s="6" t="s">
        <v>577</v>
      </c>
      <c r="H176" s="8">
        <f t="shared" si="36"/>
        <v>43527</v>
      </c>
      <c r="I176" s="2"/>
      <c r="J176" s="3">
        <f t="shared" ca="1" si="37"/>
        <v>46024</v>
      </c>
      <c r="K176" s="2">
        <v>9345225931</v>
      </c>
      <c r="L176" s="2">
        <f t="shared" si="38"/>
        <v>9345225931</v>
      </c>
      <c r="M176" s="2" t="s">
        <v>15</v>
      </c>
      <c r="N176" s="2" t="str">
        <f t="shared" si="39"/>
        <v>amit@company.com</v>
      </c>
      <c r="O176" s="12">
        <v>38618</v>
      </c>
      <c r="P176" s="2" t="str">
        <f t="shared" si="28"/>
        <v>20K-40K</v>
      </c>
      <c r="Q176" s="2"/>
      <c r="R176" s="2" t="s">
        <v>23</v>
      </c>
      <c r="S176" s="2" t="str">
        <f t="shared" si="29"/>
        <v>M8</v>
      </c>
      <c r="T176" s="2" t="s">
        <v>45</v>
      </c>
      <c r="U176" s="2" t="str">
        <f t="shared" si="40"/>
        <v>RESIGNED</v>
      </c>
      <c r="V176" s="2">
        <f t="shared" ca="1" si="30"/>
        <v>2497</v>
      </c>
      <c r="W176" s="2">
        <f t="shared" ca="1" si="31"/>
        <v>81</v>
      </c>
      <c r="X176" s="2">
        <f t="shared" ca="1" si="32"/>
        <v>6</v>
      </c>
      <c r="Y176" s="2"/>
      <c r="Z176" s="2"/>
      <c r="AA176" s="2" t="str">
        <f t="shared" ca="1" si="41"/>
        <v>OK</v>
      </c>
    </row>
    <row r="177" spans="1:27" x14ac:dyDescent="0.3">
      <c r="A177" s="2" t="s">
        <v>578</v>
      </c>
      <c r="B177" s="2" t="str">
        <f t="shared" si="33"/>
        <v>EMP176</v>
      </c>
      <c r="C177" s="2" t="s">
        <v>63</v>
      </c>
      <c r="D177" s="2" t="str">
        <f t="shared" si="34"/>
        <v>Pooja</v>
      </c>
      <c r="E177" s="2" t="s">
        <v>26</v>
      </c>
      <c r="F177" s="2" t="str">
        <f t="shared" si="35"/>
        <v>HR</v>
      </c>
      <c r="G177" s="6" t="s">
        <v>579</v>
      </c>
      <c r="H177" s="8">
        <f t="shared" si="36"/>
        <v>44284</v>
      </c>
      <c r="I177" s="2" t="s">
        <v>580</v>
      </c>
      <c r="J177" s="3">
        <f t="shared" ca="1" si="37"/>
        <v>45750</v>
      </c>
      <c r="K177" s="2">
        <v>9480254634</v>
      </c>
      <c r="L177" s="2">
        <f t="shared" si="38"/>
        <v>9480254634</v>
      </c>
      <c r="M177" s="2" t="s">
        <v>400</v>
      </c>
      <c r="N177" s="2" t="str">
        <f t="shared" si="39"/>
        <v>kiran@gmail.com</v>
      </c>
      <c r="O177" s="12">
        <v>81506</v>
      </c>
      <c r="P177" s="2" t="str">
        <f t="shared" si="28"/>
        <v>Above 80K</v>
      </c>
      <c r="Q177" s="2"/>
      <c r="R177" s="2" t="s">
        <v>55</v>
      </c>
      <c r="S177" s="2" t="str">
        <f t="shared" si="29"/>
        <v>M2</v>
      </c>
      <c r="T177" s="2" t="s">
        <v>149</v>
      </c>
      <c r="U177" s="2" t="str">
        <f t="shared" si="40"/>
        <v>ACTIVE</v>
      </c>
      <c r="V177" s="2">
        <f t="shared" ca="1" si="30"/>
        <v>1466</v>
      </c>
      <c r="W177" s="2">
        <f t="shared" ca="1" si="31"/>
        <v>48</v>
      </c>
      <c r="X177" s="2">
        <f t="shared" ca="1" si="32"/>
        <v>4</v>
      </c>
      <c r="Y177" s="2"/>
      <c r="Z177" s="2"/>
      <c r="AA177" s="2" t="str">
        <f t="shared" ca="1" si="41"/>
        <v>OK</v>
      </c>
    </row>
    <row r="178" spans="1:27" x14ac:dyDescent="0.3">
      <c r="A178" s="2" t="s">
        <v>581</v>
      </c>
      <c r="B178" s="2" t="str">
        <f t="shared" si="33"/>
        <v>EMP177</v>
      </c>
      <c r="C178" s="2" t="s">
        <v>81</v>
      </c>
      <c r="D178" s="2" t="str">
        <f t="shared" si="34"/>
        <v>Suresh</v>
      </c>
      <c r="E178" s="2" t="s">
        <v>33</v>
      </c>
      <c r="F178" s="2" t="str">
        <f t="shared" si="35"/>
        <v>IT</v>
      </c>
      <c r="G178" s="6" t="s">
        <v>507</v>
      </c>
      <c r="H178" s="8">
        <f t="shared" si="36"/>
        <v>44066</v>
      </c>
      <c r="I178" s="2" t="s">
        <v>582</v>
      </c>
      <c r="J178" s="3">
        <f t="shared" ca="1" si="37"/>
        <v>44313</v>
      </c>
      <c r="K178" s="2">
        <v>9365764880</v>
      </c>
      <c r="L178" s="2">
        <f t="shared" si="38"/>
        <v>9365764880</v>
      </c>
      <c r="M178" s="2" t="s">
        <v>84</v>
      </c>
      <c r="N178" s="2" t="str">
        <f t="shared" si="39"/>
        <v>ankit@company.com</v>
      </c>
      <c r="O178" s="12">
        <v>35548</v>
      </c>
      <c r="P178" s="2" t="str">
        <f t="shared" si="28"/>
        <v>20K-40K</v>
      </c>
      <c r="Q178" s="2"/>
      <c r="R178" s="2" t="s">
        <v>358</v>
      </c>
      <c r="S178" s="2" t="str">
        <f t="shared" si="29"/>
        <v>M1</v>
      </c>
      <c r="T178" s="2" t="s">
        <v>37</v>
      </c>
      <c r="U178" s="2" t="str">
        <f t="shared" si="40"/>
        <v>ACTIVE</v>
      </c>
      <c r="V178" s="2">
        <f t="shared" ca="1" si="30"/>
        <v>247</v>
      </c>
      <c r="W178" s="2">
        <f t="shared" ca="1" si="31"/>
        <v>8</v>
      </c>
      <c r="X178" s="2">
        <f t="shared" ca="1" si="32"/>
        <v>0</v>
      </c>
      <c r="Y178" s="2"/>
      <c r="Z178" s="2"/>
      <c r="AA178" s="2" t="str">
        <f t="shared" ca="1" si="41"/>
        <v>OK</v>
      </c>
    </row>
    <row r="179" spans="1:27" x14ac:dyDescent="0.3">
      <c r="A179" s="2" t="s">
        <v>583</v>
      </c>
      <c r="B179" s="2" t="str">
        <f t="shared" si="33"/>
        <v>EMP178</v>
      </c>
      <c r="C179" s="2" t="s">
        <v>11</v>
      </c>
      <c r="D179" s="2" t="str">
        <f t="shared" si="34"/>
        <v>Ravi</v>
      </c>
      <c r="E179" s="2" t="s">
        <v>129</v>
      </c>
      <c r="F179" s="2" t="str">
        <f t="shared" si="35"/>
        <v>SALES</v>
      </c>
      <c r="G179" s="6" t="s">
        <v>584</v>
      </c>
      <c r="H179" s="8">
        <f t="shared" si="36"/>
        <v>44268</v>
      </c>
      <c r="I179" s="2" t="s">
        <v>585</v>
      </c>
      <c r="J179" s="3">
        <f t="shared" ca="1" si="37"/>
        <v>44821</v>
      </c>
      <c r="K179" s="2">
        <v>9615778785</v>
      </c>
      <c r="L179" s="2">
        <f t="shared" si="38"/>
        <v>9615778785</v>
      </c>
      <c r="M179" s="2" t="s">
        <v>70</v>
      </c>
      <c r="N179" s="2" t="str">
        <f t="shared" si="39"/>
        <v>sunita@company.com</v>
      </c>
      <c r="O179" s="12">
        <v>51387</v>
      </c>
      <c r="P179" s="2" t="str">
        <f t="shared" si="28"/>
        <v>40K-60K</v>
      </c>
      <c r="Q179" s="2"/>
      <c r="R179" s="2" t="s">
        <v>16</v>
      </c>
      <c r="S179" s="2" t="str">
        <f t="shared" si="29"/>
        <v>M4</v>
      </c>
      <c r="T179" s="2" t="s">
        <v>17</v>
      </c>
      <c r="U179" s="2" t="str">
        <f t="shared" si="40"/>
        <v>RESIGNED</v>
      </c>
      <c r="V179" s="2">
        <f t="shared" ca="1" si="30"/>
        <v>553</v>
      </c>
      <c r="W179" s="2">
        <f t="shared" ca="1" si="31"/>
        <v>18</v>
      </c>
      <c r="X179" s="2">
        <f t="shared" ca="1" si="32"/>
        <v>1</v>
      </c>
      <c r="Y179" s="2"/>
      <c r="Z179" s="2"/>
      <c r="AA179" s="2" t="str">
        <f t="shared" ca="1" si="41"/>
        <v>OK</v>
      </c>
    </row>
    <row r="180" spans="1:27" x14ac:dyDescent="0.3">
      <c r="A180" s="2" t="s">
        <v>586</v>
      </c>
      <c r="B180" s="2" t="str">
        <f t="shared" si="33"/>
        <v>EMP179</v>
      </c>
      <c r="C180" s="2" t="s">
        <v>81</v>
      </c>
      <c r="D180" s="2" t="str">
        <f t="shared" si="34"/>
        <v>Suresh</v>
      </c>
      <c r="E180" s="2" t="s">
        <v>57</v>
      </c>
      <c r="F180" s="2" t="str">
        <f t="shared" si="35"/>
        <v>HR</v>
      </c>
      <c r="G180" s="6" t="s">
        <v>587</v>
      </c>
      <c r="H180" s="8">
        <f t="shared" si="36"/>
        <v>44750</v>
      </c>
      <c r="I180" s="2" t="s">
        <v>588</v>
      </c>
      <c r="J180" s="3">
        <f t="shared" ca="1" si="37"/>
        <v>45698</v>
      </c>
      <c r="K180" s="2">
        <v>9292439596</v>
      </c>
      <c r="L180" s="2">
        <f t="shared" si="38"/>
        <v>9292439596</v>
      </c>
      <c r="M180" s="2" t="s">
        <v>70</v>
      </c>
      <c r="N180" s="2" t="str">
        <f t="shared" si="39"/>
        <v>sunita@company.com</v>
      </c>
      <c r="O180" s="12">
        <v>80606</v>
      </c>
      <c r="P180" s="2" t="str">
        <f t="shared" si="28"/>
        <v>Above 80K</v>
      </c>
      <c r="Q180" s="2"/>
      <c r="R180" s="2" t="s">
        <v>135</v>
      </c>
      <c r="S180" s="2" t="str">
        <f t="shared" si="29"/>
        <v>M15</v>
      </c>
      <c r="T180" s="2" t="s">
        <v>45</v>
      </c>
      <c r="U180" s="2" t="str">
        <f t="shared" si="40"/>
        <v>RESIGNED</v>
      </c>
      <c r="V180" s="2">
        <f t="shared" ca="1" si="30"/>
        <v>948</v>
      </c>
      <c r="W180" s="2">
        <f t="shared" ca="1" si="31"/>
        <v>31</v>
      </c>
      <c r="X180" s="2">
        <f t="shared" ca="1" si="32"/>
        <v>2</v>
      </c>
      <c r="Y180" s="2"/>
      <c r="Z180" s="2"/>
      <c r="AA180" s="2" t="str">
        <f t="shared" ca="1" si="41"/>
        <v>OK</v>
      </c>
    </row>
    <row r="181" spans="1:27" x14ac:dyDescent="0.3">
      <c r="A181" s="2" t="s">
        <v>589</v>
      </c>
      <c r="B181" s="2" t="str">
        <f t="shared" si="33"/>
        <v>EMP180</v>
      </c>
      <c r="C181" s="2" t="s">
        <v>63</v>
      </c>
      <c r="D181" s="2" t="str">
        <f t="shared" si="34"/>
        <v>Pooja</v>
      </c>
      <c r="E181" s="2" t="s">
        <v>26</v>
      </c>
      <c r="F181" s="2" t="str">
        <f t="shared" si="35"/>
        <v>HR</v>
      </c>
      <c r="G181" s="6" t="s">
        <v>590</v>
      </c>
      <c r="H181" s="8">
        <f t="shared" si="36"/>
        <v>44483</v>
      </c>
      <c r="I181" s="2" t="s">
        <v>591</v>
      </c>
      <c r="J181" s="3">
        <f t="shared" ca="1" si="37"/>
        <v>44822</v>
      </c>
      <c r="K181" s="2">
        <v>9736406232</v>
      </c>
      <c r="L181" s="2">
        <f t="shared" si="38"/>
        <v>9736406232</v>
      </c>
      <c r="M181" s="2" t="s">
        <v>118</v>
      </c>
      <c r="N181" s="2" t="str">
        <f t="shared" si="39"/>
        <v>rahul@company.com</v>
      </c>
      <c r="O181" s="12">
        <v>57814</v>
      </c>
      <c r="P181" s="2" t="str">
        <f t="shared" si="28"/>
        <v>40K-60K</v>
      </c>
      <c r="Q181" s="2"/>
      <c r="R181" s="2" t="s">
        <v>66</v>
      </c>
      <c r="S181" s="2" t="str">
        <f t="shared" si="29"/>
        <v>M13</v>
      </c>
      <c r="T181" s="2" t="s">
        <v>31</v>
      </c>
      <c r="U181" s="2" t="str">
        <f t="shared" si="40"/>
        <v>ON HOLD</v>
      </c>
      <c r="V181" s="2">
        <f t="shared" ca="1" si="30"/>
        <v>339</v>
      </c>
      <c r="W181" s="2">
        <f t="shared" ca="1" si="31"/>
        <v>11</v>
      </c>
      <c r="X181" s="2">
        <f t="shared" ca="1" si="32"/>
        <v>0</v>
      </c>
      <c r="Y181" s="2"/>
      <c r="Z181" s="2"/>
      <c r="AA181" s="2" t="str">
        <f t="shared" ca="1" si="41"/>
        <v>OK</v>
      </c>
    </row>
    <row r="182" spans="1:27" x14ac:dyDescent="0.3">
      <c r="A182" s="2" t="s">
        <v>592</v>
      </c>
      <c r="B182" s="2" t="str">
        <f t="shared" si="33"/>
        <v>EMP181</v>
      </c>
      <c r="C182" s="2" t="s">
        <v>63</v>
      </c>
      <c r="D182" s="2" t="str">
        <f t="shared" si="34"/>
        <v>Pooja</v>
      </c>
      <c r="E182" s="2" t="s">
        <v>26</v>
      </c>
      <c r="F182" s="2" t="str">
        <f t="shared" si="35"/>
        <v>HR</v>
      </c>
      <c r="G182" s="6" t="s">
        <v>593</v>
      </c>
      <c r="H182" s="8">
        <f t="shared" si="36"/>
        <v>43971</v>
      </c>
      <c r="I182" s="2" t="s">
        <v>98</v>
      </c>
      <c r="J182" s="3">
        <f t="shared" ca="1" si="37"/>
        <v>44737</v>
      </c>
      <c r="K182" s="2">
        <v>9102329174</v>
      </c>
      <c r="L182" s="2">
        <f t="shared" si="38"/>
        <v>9102329174</v>
      </c>
      <c r="M182" s="2" t="s">
        <v>36</v>
      </c>
      <c r="N182" s="2" t="str">
        <f t="shared" si="39"/>
        <v>neha@company.com</v>
      </c>
      <c r="O182" s="12">
        <v>36818</v>
      </c>
      <c r="P182" s="2" t="str">
        <f t="shared" si="28"/>
        <v>20K-40K</v>
      </c>
      <c r="Q182" s="2"/>
      <c r="R182" s="2" t="s">
        <v>108</v>
      </c>
      <c r="S182" s="2" t="str">
        <f t="shared" si="29"/>
        <v>M10</v>
      </c>
      <c r="T182" s="2" t="s">
        <v>37</v>
      </c>
      <c r="U182" s="2" t="str">
        <f t="shared" si="40"/>
        <v>ACTIVE</v>
      </c>
      <c r="V182" s="2">
        <f t="shared" ca="1" si="30"/>
        <v>766</v>
      </c>
      <c r="W182" s="2">
        <f t="shared" ca="1" si="31"/>
        <v>25</v>
      </c>
      <c r="X182" s="2">
        <f t="shared" ca="1" si="32"/>
        <v>2</v>
      </c>
      <c r="Y182" s="2"/>
      <c r="Z182" s="2"/>
      <c r="AA182" s="2" t="str">
        <f t="shared" ca="1" si="41"/>
        <v>OK</v>
      </c>
    </row>
    <row r="183" spans="1:27" x14ac:dyDescent="0.3">
      <c r="A183" s="2" t="s">
        <v>594</v>
      </c>
      <c r="B183" s="2" t="str">
        <f t="shared" si="33"/>
        <v>EMP182</v>
      </c>
      <c r="C183" s="2" t="s">
        <v>104</v>
      </c>
      <c r="D183" s="2" t="str">
        <f t="shared" si="34"/>
        <v>Vikas</v>
      </c>
      <c r="E183" s="2" t="s">
        <v>48</v>
      </c>
      <c r="F183" s="2" t="str">
        <f t="shared" si="35"/>
        <v>FINANCE</v>
      </c>
      <c r="G183" s="6" t="s">
        <v>595</v>
      </c>
      <c r="H183" s="8">
        <f t="shared" si="36"/>
        <v>44947</v>
      </c>
      <c r="I183" s="2"/>
      <c r="J183" s="3">
        <f t="shared" ca="1" si="37"/>
        <v>46024</v>
      </c>
      <c r="K183" s="2">
        <v>9592980904</v>
      </c>
      <c r="L183" s="2">
        <f t="shared" si="38"/>
        <v>9592980904</v>
      </c>
      <c r="M183" s="2" t="s">
        <v>15</v>
      </c>
      <c r="N183" s="2" t="str">
        <f t="shared" si="39"/>
        <v>amit@company.com</v>
      </c>
      <c r="O183" s="12">
        <v>62179</v>
      </c>
      <c r="P183" s="2" t="str">
        <f t="shared" si="28"/>
        <v>60K-80K</v>
      </c>
      <c r="Q183" s="2"/>
      <c r="R183" s="2" t="s">
        <v>75</v>
      </c>
      <c r="S183" s="2" t="str">
        <f t="shared" si="29"/>
        <v>M12</v>
      </c>
      <c r="T183" s="2" t="s">
        <v>17</v>
      </c>
      <c r="U183" s="2" t="str">
        <f t="shared" si="40"/>
        <v>RESIGNED</v>
      </c>
      <c r="V183" s="2">
        <f t="shared" ca="1" si="30"/>
        <v>1077</v>
      </c>
      <c r="W183" s="2">
        <f t="shared" ca="1" si="31"/>
        <v>35</v>
      </c>
      <c r="X183" s="2">
        <f t="shared" ca="1" si="32"/>
        <v>2</v>
      </c>
      <c r="Y183" s="2"/>
      <c r="Z183" s="2"/>
      <c r="AA183" s="2" t="str">
        <f t="shared" ca="1" si="41"/>
        <v>OK</v>
      </c>
    </row>
    <row r="184" spans="1:27" x14ac:dyDescent="0.3">
      <c r="A184" s="2" t="s">
        <v>596</v>
      </c>
      <c r="B184" s="2" t="str">
        <f t="shared" si="33"/>
        <v>EMP183</v>
      </c>
      <c r="C184" s="2" t="s">
        <v>81</v>
      </c>
      <c r="D184" s="2" t="str">
        <f t="shared" si="34"/>
        <v>Suresh</v>
      </c>
      <c r="E184" s="2" t="s">
        <v>48</v>
      </c>
      <c r="F184" s="2" t="str">
        <f t="shared" si="35"/>
        <v>FINANCE</v>
      </c>
      <c r="G184" s="6" t="s">
        <v>597</v>
      </c>
      <c r="H184" s="8">
        <f t="shared" si="36"/>
        <v>45194</v>
      </c>
      <c r="I184" s="2" t="s">
        <v>598</v>
      </c>
      <c r="J184" s="3">
        <f t="shared" ca="1" si="37"/>
        <v>45848</v>
      </c>
      <c r="K184" s="2">
        <v>9542862874</v>
      </c>
      <c r="L184" s="2">
        <f t="shared" si="38"/>
        <v>9542862874</v>
      </c>
      <c r="M184" s="2" t="s">
        <v>36</v>
      </c>
      <c r="N184" s="2" t="str">
        <f t="shared" si="39"/>
        <v>neha@company.com</v>
      </c>
      <c r="O184" s="12">
        <v>12919</v>
      </c>
      <c r="P184" s="2" t="str">
        <f t="shared" si="28"/>
        <v>Below 20K</v>
      </c>
      <c r="Q184" s="2"/>
      <c r="R184" s="2" t="s">
        <v>142</v>
      </c>
      <c r="S184" s="2" t="str">
        <f t="shared" si="29"/>
        <v>M23</v>
      </c>
      <c r="T184" s="2" t="s">
        <v>149</v>
      </c>
      <c r="U184" s="2" t="str">
        <f t="shared" si="40"/>
        <v>ACTIVE</v>
      </c>
      <c r="V184" s="2">
        <f t="shared" ca="1" si="30"/>
        <v>654</v>
      </c>
      <c r="W184" s="2">
        <f t="shared" ca="1" si="31"/>
        <v>21</v>
      </c>
      <c r="X184" s="2">
        <f t="shared" ca="1" si="32"/>
        <v>1</v>
      </c>
      <c r="Y184" s="2"/>
      <c r="Z184" s="2"/>
      <c r="AA184" s="2" t="str">
        <f t="shared" ca="1" si="41"/>
        <v>OK</v>
      </c>
    </row>
    <row r="185" spans="1:27" x14ac:dyDescent="0.3">
      <c r="A185" s="2" t="s">
        <v>599</v>
      </c>
      <c r="B185" s="2" t="str">
        <f t="shared" si="33"/>
        <v>EMP184</v>
      </c>
      <c r="C185" s="2" t="s">
        <v>161</v>
      </c>
      <c r="D185" s="2" t="str">
        <f t="shared" si="34"/>
        <v>Kiran</v>
      </c>
      <c r="E185" s="2" t="s">
        <v>40</v>
      </c>
      <c r="F185" s="2" t="str">
        <f t="shared" si="35"/>
        <v>SALES</v>
      </c>
      <c r="G185" s="6" t="s">
        <v>600</v>
      </c>
      <c r="H185" s="8">
        <f t="shared" si="36"/>
        <v>43469</v>
      </c>
      <c r="I185" s="2" t="s">
        <v>601</v>
      </c>
      <c r="J185" s="3">
        <f t="shared" ca="1" si="37"/>
        <v>43661</v>
      </c>
      <c r="K185" s="2">
        <v>9966692429</v>
      </c>
      <c r="L185" s="2">
        <f t="shared" si="38"/>
        <v>9966692429</v>
      </c>
      <c r="M185" s="2" t="s">
        <v>283</v>
      </c>
      <c r="N185" s="2" t="str">
        <f t="shared" si="39"/>
        <v>ravi@gmail.com</v>
      </c>
      <c r="O185" s="12">
        <v>30827</v>
      </c>
      <c r="P185" s="2" t="str">
        <f t="shared" si="28"/>
        <v>20K-40K</v>
      </c>
      <c r="Q185" s="2"/>
      <c r="R185" s="2" t="s">
        <v>85</v>
      </c>
      <c r="S185" s="2" t="str">
        <f t="shared" si="29"/>
        <v>M24</v>
      </c>
      <c r="T185" s="2" t="s">
        <v>45</v>
      </c>
      <c r="U185" s="2" t="str">
        <f t="shared" si="40"/>
        <v>RESIGNED</v>
      </c>
      <c r="V185" s="2">
        <f t="shared" ca="1" si="30"/>
        <v>192</v>
      </c>
      <c r="W185" s="2">
        <f t="shared" ca="1" si="31"/>
        <v>6</v>
      </c>
      <c r="X185" s="2">
        <f t="shared" ca="1" si="32"/>
        <v>0</v>
      </c>
      <c r="Y185" s="2"/>
      <c r="Z185" s="2"/>
      <c r="AA185" s="2" t="str">
        <f t="shared" ca="1" si="41"/>
        <v>OK</v>
      </c>
    </row>
    <row r="186" spans="1:27" x14ac:dyDescent="0.3">
      <c r="A186" s="2" t="s">
        <v>602</v>
      </c>
      <c r="B186" s="2" t="str">
        <f t="shared" si="33"/>
        <v>EMP185</v>
      </c>
      <c r="C186" s="2" t="s">
        <v>81</v>
      </c>
      <c r="D186" s="2" t="str">
        <f t="shared" si="34"/>
        <v>Suresh</v>
      </c>
      <c r="E186" s="2" t="s">
        <v>12</v>
      </c>
      <c r="F186" s="2" t="str">
        <f t="shared" si="35"/>
        <v>IT</v>
      </c>
      <c r="G186" s="6" t="s">
        <v>603</v>
      </c>
      <c r="H186" s="8">
        <f t="shared" si="36"/>
        <v>43482</v>
      </c>
      <c r="I186" s="2" t="s">
        <v>604</v>
      </c>
      <c r="J186" s="3">
        <f t="shared" ca="1" si="37"/>
        <v>44039</v>
      </c>
      <c r="K186" s="2">
        <v>9587657981</v>
      </c>
      <c r="L186" s="2">
        <f t="shared" si="38"/>
        <v>9587657981</v>
      </c>
      <c r="M186" s="2" t="s">
        <v>51</v>
      </c>
      <c r="N186" s="2" t="str">
        <f t="shared" si="39"/>
        <v>kiran@company.com</v>
      </c>
      <c r="O186" s="12">
        <v>18080</v>
      </c>
      <c r="P186" s="2" t="str">
        <f t="shared" si="28"/>
        <v>Below 20K</v>
      </c>
      <c r="Q186" s="2"/>
      <c r="R186" s="2" t="s">
        <v>75</v>
      </c>
      <c r="S186" s="2" t="str">
        <f t="shared" si="29"/>
        <v>M12</v>
      </c>
      <c r="T186" s="2" t="s">
        <v>45</v>
      </c>
      <c r="U186" s="2" t="str">
        <f t="shared" si="40"/>
        <v>RESIGNED</v>
      </c>
      <c r="V186" s="2">
        <f t="shared" ca="1" si="30"/>
        <v>557</v>
      </c>
      <c r="W186" s="2">
        <f t="shared" ca="1" si="31"/>
        <v>18</v>
      </c>
      <c r="X186" s="2">
        <f t="shared" ca="1" si="32"/>
        <v>1</v>
      </c>
      <c r="Y186" s="2"/>
      <c r="Z186" s="2"/>
      <c r="AA186" s="2" t="str">
        <f t="shared" ca="1" si="41"/>
        <v>OK</v>
      </c>
    </row>
    <row r="187" spans="1:27" x14ac:dyDescent="0.3">
      <c r="A187" s="2" t="s">
        <v>605</v>
      </c>
      <c r="B187" s="2" t="str">
        <f t="shared" si="33"/>
        <v>EMP186</v>
      </c>
      <c r="C187" s="2" t="s">
        <v>47</v>
      </c>
      <c r="D187" s="2" t="str">
        <f t="shared" si="34"/>
        <v>Sunita</v>
      </c>
      <c r="E187" s="2" t="s">
        <v>48</v>
      </c>
      <c r="F187" s="2" t="str">
        <f t="shared" si="35"/>
        <v>FINANCE</v>
      </c>
      <c r="G187" s="6" t="s">
        <v>606</v>
      </c>
      <c r="H187" s="8">
        <f t="shared" si="36"/>
        <v>44911</v>
      </c>
      <c r="I187" s="2" t="s">
        <v>607</v>
      </c>
      <c r="J187" s="3">
        <f t="shared" ca="1" si="37"/>
        <v>45091</v>
      </c>
      <c r="K187" s="2">
        <v>9857287905</v>
      </c>
      <c r="L187" s="2">
        <f t="shared" si="38"/>
        <v>9857287905</v>
      </c>
      <c r="M187" s="2" t="s">
        <v>107</v>
      </c>
      <c r="N187" s="2" t="str">
        <f t="shared" si="39"/>
        <v>vikas@company.com</v>
      </c>
      <c r="O187" s="12">
        <v>31545</v>
      </c>
      <c r="P187" s="2" t="str">
        <f t="shared" si="28"/>
        <v>20K-40K</v>
      </c>
      <c r="Q187" s="2"/>
      <c r="R187" s="2" t="s">
        <v>156</v>
      </c>
      <c r="S187" s="2" t="str">
        <f t="shared" si="29"/>
        <v>M6</v>
      </c>
      <c r="T187" s="2" t="s">
        <v>31</v>
      </c>
      <c r="U187" s="2" t="str">
        <f t="shared" si="40"/>
        <v>ON HOLD</v>
      </c>
      <c r="V187" s="2">
        <f t="shared" ca="1" si="30"/>
        <v>180</v>
      </c>
      <c r="W187" s="2">
        <f t="shared" ca="1" si="31"/>
        <v>5</v>
      </c>
      <c r="X187" s="2">
        <f t="shared" ca="1" si="32"/>
        <v>0</v>
      </c>
      <c r="Y187" s="2"/>
      <c r="Z187" s="2"/>
      <c r="AA187" s="2" t="str">
        <f t="shared" ca="1" si="41"/>
        <v>OK</v>
      </c>
    </row>
    <row r="188" spans="1:27" x14ac:dyDescent="0.3">
      <c r="A188" s="2" t="s">
        <v>608</v>
      </c>
      <c r="B188" s="2" t="str">
        <f t="shared" si="33"/>
        <v>EMP187</v>
      </c>
      <c r="C188" s="2" t="s">
        <v>11</v>
      </c>
      <c r="D188" s="2" t="str">
        <f t="shared" si="34"/>
        <v>Ravi</v>
      </c>
      <c r="E188" s="2" t="s">
        <v>129</v>
      </c>
      <c r="F188" s="2" t="str">
        <f t="shared" si="35"/>
        <v>SALES</v>
      </c>
      <c r="G188" s="6" t="s">
        <v>609</v>
      </c>
      <c r="H188" s="8">
        <f t="shared" si="36"/>
        <v>44759</v>
      </c>
      <c r="I188" s="2" t="s">
        <v>610</v>
      </c>
      <c r="J188" s="3">
        <f t="shared" ca="1" si="37"/>
        <v>45070</v>
      </c>
      <c r="K188" s="2">
        <v>9897739043</v>
      </c>
      <c r="L188" s="2">
        <f t="shared" si="38"/>
        <v>9897739043</v>
      </c>
      <c r="M188" s="2" t="s">
        <v>22</v>
      </c>
      <c r="N188" s="2" t="str">
        <f t="shared" si="39"/>
        <v>pooja@company.com</v>
      </c>
      <c r="O188" s="12">
        <v>79311</v>
      </c>
      <c r="P188" s="2" t="str">
        <f t="shared" si="28"/>
        <v>60K-80K</v>
      </c>
      <c r="Q188" s="2"/>
      <c r="R188" s="2" t="s">
        <v>71</v>
      </c>
      <c r="S188" s="2" t="str">
        <f t="shared" si="29"/>
        <v>M14</v>
      </c>
      <c r="T188" s="2" t="s">
        <v>45</v>
      </c>
      <c r="U188" s="2" t="str">
        <f t="shared" si="40"/>
        <v>RESIGNED</v>
      </c>
      <c r="V188" s="2">
        <f t="shared" ca="1" si="30"/>
        <v>311</v>
      </c>
      <c r="W188" s="2">
        <f t="shared" ca="1" si="31"/>
        <v>10</v>
      </c>
      <c r="X188" s="2">
        <f t="shared" ca="1" si="32"/>
        <v>0</v>
      </c>
      <c r="Y188" s="2"/>
      <c r="Z188" s="2"/>
      <c r="AA188" s="2" t="str">
        <f t="shared" ca="1" si="41"/>
        <v>OK</v>
      </c>
    </row>
    <row r="189" spans="1:27" x14ac:dyDescent="0.3">
      <c r="A189" s="2" t="s">
        <v>611</v>
      </c>
      <c r="B189" s="2" t="str">
        <f t="shared" si="33"/>
        <v>EMP188</v>
      </c>
      <c r="C189" s="2" t="s">
        <v>47</v>
      </c>
      <c r="D189" s="2" t="str">
        <f t="shared" si="34"/>
        <v>Sunita</v>
      </c>
      <c r="E189" s="2" t="s">
        <v>129</v>
      </c>
      <c r="F189" s="2" t="str">
        <f t="shared" si="35"/>
        <v>SALES</v>
      </c>
      <c r="G189" s="6" t="s">
        <v>612</v>
      </c>
      <c r="H189" s="8">
        <f t="shared" si="36"/>
        <v>44710</v>
      </c>
      <c r="I189" s="2" t="s">
        <v>613</v>
      </c>
      <c r="J189" s="3">
        <f t="shared" ca="1" si="37"/>
        <v>46141</v>
      </c>
      <c r="K189" s="2">
        <v>9715834204</v>
      </c>
      <c r="L189" s="2">
        <f t="shared" si="38"/>
        <v>9715834204</v>
      </c>
      <c r="M189" s="2" t="s">
        <v>29</v>
      </c>
      <c r="N189" s="2" t="str">
        <f t="shared" si="39"/>
        <v>suresh@company.com</v>
      </c>
      <c r="O189" s="12">
        <v>27951</v>
      </c>
      <c r="P189" s="2" t="str">
        <f t="shared" si="28"/>
        <v>20K-40K</v>
      </c>
      <c r="Q189" s="2"/>
      <c r="R189" s="2" t="s">
        <v>358</v>
      </c>
      <c r="S189" s="2" t="str">
        <f t="shared" si="29"/>
        <v>M1</v>
      </c>
      <c r="T189" s="2" t="s">
        <v>17</v>
      </c>
      <c r="U189" s="2" t="str">
        <f t="shared" si="40"/>
        <v>RESIGNED</v>
      </c>
      <c r="V189" s="2">
        <f t="shared" ca="1" si="30"/>
        <v>1431</v>
      </c>
      <c r="W189" s="2">
        <f t="shared" ca="1" si="31"/>
        <v>47</v>
      </c>
      <c r="X189" s="2">
        <f t="shared" ca="1" si="32"/>
        <v>3</v>
      </c>
      <c r="Y189" s="2"/>
      <c r="Z189" s="2"/>
      <c r="AA189" s="2" t="str">
        <f t="shared" ca="1" si="41"/>
        <v>OK</v>
      </c>
    </row>
    <row r="190" spans="1:27" x14ac:dyDescent="0.3">
      <c r="A190" s="2" t="s">
        <v>614</v>
      </c>
      <c r="B190" s="2" t="str">
        <f t="shared" si="33"/>
        <v>EMP189</v>
      </c>
      <c r="C190" s="2" t="s">
        <v>161</v>
      </c>
      <c r="D190" s="2" t="str">
        <f t="shared" si="34"/>
        <v>Kiran</v>
      </c>
      <c r="E190" s="2" t="s">
        <v>48</v>
      </c>
      <c r="F190" s="2" t="str">
        <f t="shared" si="35"/>
        <v>FINANCE</v>
      </c>
      <c r="G190" s="6" t="s">
        <v>615</v>
      </c>
      <c r="H190" s="8">
        <f t="shared" si="36"/>
        <v>44719</v>
      </c>
      <c r="I190" s="2"/>
      <c r="J190" s="3">
        <f t="shared" ca="1" si="37"/>
        <v>46024</v>
      </c>
      <c r="K190" s="2">
        <v>9774649033</v>
      </c>
      <c r="L190" s="2">
        <f t="shared" si="38"/>
        <v>9774649033</v>
      </c>
      <c r="M190" s="2" t="s">
        <v>29</v>
      </c>
      <c r="N190" s="2" t="str">
        <f t="shared" si="39"/>
        <v>suresh@company.com</v>
      </c>
      <c r="O190" s="12">
        <v>61835</v>
      </c>
      <c r="P190" s="2" t="str">
        <f t="shared" si="28"/>
        <v>60K-80K</v>
      </c>
      <c r="Q190" s="2"/>
      <c r="R190" s="2" t="s">
        <v>616</v>
      </c>
      <c r="S190" s="2" t="str">
        <f t="shared" si="29"/>
        <v>M6</v>
      </c>
      <c r="T190" s="2" t="s">
        <v>45</v>
      </c>
      <c r="U190" s="2" t="str">
        <f t="shared" si="40"/>
        <v>RESIGNED</v>
      </c>
      <c r="V190" s="2">
        <f t="shared" ca="1" si="30"/>
        <v>1305</v>
      </c>
      <c r="W190" s="2">
        <f t="shared" ca="1" si="31"/>
        <v>42</v>
      </c>
      <c r="X190" s="2">
        <f t="shared" ca="1" si="32"/>
        <v>3</v>
      </c>
      <c r="Y190" s="2"/>
      <c r="Z190" s="2"/>
      <c r="AA190" s="2" t="str">
        <f t="shared" ca="1" si="41"/>
        <v>OK</v>
      </c>
    </row>
    <row r="191" spans="1:27" x14ac:dyDescent="0.3">
      <c r="A191" s="2" t="s">
        <v>617</v>
      </c>
      <c r="B191" s="2" t="str">
        <f t="shared" si="33"/>
        <v>EMP190</v>
      </c>
      <c r="C191" s="2" t="s">
        <v>104</v>
      </c>
      <c r="D191" s="2" t="str">
        <f t="shared" si="34"/>
        <v>Vikas</v>
      </c>
      <c r="E191" s="2" t="s">
        <v>48</v>
      </c>
      <c r="F191" s="2" t="str">
        <f t="shared" si="35"/>
        <v>FINANCE</v>
      </c>
      <c r="G191" s="6" t="s">
        <v>618</v>
      </c>
      <c r="H191" s="8">
        <f t="shared" si="36"/>
        <v>44273</v>
      </c>
      <c r="I191" s="2" t="s">
        <v>619</v>
      </c>
      <c r="J191" s="3">
        <f t="shared" ca="1" si="37"/>
        <v>44780</v>
      </c>
      <c r="K191" s="2">
        <v>9263087696</v>
      </c>
      <c r="L191" s="2">
        <f t="shared" si="38"/>
        <v>9263087696</v>
      </c>
      <c r="M191" s="2" t="s">
        <v>51</v>
      </c>
      <c r="N191" s="2" t="str">
        <f t="shared" si="39"/>
        <v>kiran@company.com</v>
      </c>
      <c r="O191" s="12">
        <v>21671</v>
      </c>
      <c r="P191" s="2" t="str">
        <f t="shared" si="28"/>
        <v>20K-40K</v>
      </c>
      <c r="Q191" s="2"/>
      <c r="R191" s="2" t="s">
        <v>75</v>
      </c>
      <c r="S191" s="2" t="str">
        <f t="shared" si="29"/>
        <v>M12</v>
      </c>
      <c r="T191" s="2" t="s">
        <v>37</v>
      </c>
      <c r="U191" s="2" t="str">
        <f t="shared" si="40"/>
        <v>ACTIVE</v>
      </c>
      <c r="V191" s="2">
        <f t="shared" ca="1" si="30"/>
        <v>507</v>
      </c>
      <c r="W191" s="2">
        <f t="shared" ca="1" si="31"/>
        <v>16</v>
      </c>
      <c r="X191" s="2">
        <f t="shared" ca="1" si="32"/>
        <v>1</v>
      </c>
      <c r="Y191" s="2"/>
      <c r="Z191" s="2"/>
      <c r="AA191" s="2" t="str">
        <f t="shared" ca="1" si="41"/>
        <v>OK</v>
      </c>
    </row>
    <row r="192" spans="1:27" x14ac:dyDescent="0.3">
      <c r="A192" s="2" t="s">
        <v>620</v>
      </c>
      <c r="B192" s="2" t="str">
        <f t="shared" si="33"/>
        <v>EMP191</v>
      </c>
      <c r="C192" s="2" t="s">
        <v>115</v>
      </c>
      <c r="D192" s="2" t="str">
        <f t="shared" si="34"/>
        <v>Rahul</v>
      </c>
      <c r="E192" s="2" t="s">
        <v>57</v>
      </c>
      <c r="F192" s="2" t="str">
        <f t="shared" si="35"/>
        <v>HR</v>
      </c>
      <c r="G192" s="6" t="s">
        <v>621</v>
      </c>
      <c r="H192" s="8">
        <f t="shared" si="36"/>
        <v>44287</v>
      </c>
      <c r="I192" s="2" t="s">
        <v>622</v>
      </c>
      <c r="J192" s="3">
        <f t="shared" ca="1" si="37"/>
        <v>44744</v>
      </c>
      <c r="K192" s="2">
        <v>9574537698</v>
      </c>
      <c r="L192" s="2">
        <f t="shared" si="38"/>
        <v>9574537698</v>
      </c>
      <c r="M192" s="2" t="s">
        <v>22</v>
      </c>
      <c r="N192" s="2" t="str">
        <f t="shared" si="39"/>
        <v>pooja@company.com</v>
      </c>
      <c r="O192" s="12">
        <v>53207</v>
      </c>
      <c r="P192" s="2" t="str">
        <f t="shared" si="28"/>
        <v>40K-60K</v>
      </c>
      <c r="Q192" s="2"/>
      <c r="R192" s="2" t="s">
        <v>242</v>
      </c>
      <c r="S192" s="2" t="str">
        <f t="shared" si="29"/>
        <v>M17</v>
      </c>
      <c r="T192" s="2" t="s">
        <v>17</v>
      </c>
      <c r="U192" s="2" t="str">
        <f t="shared" si="40"/>
        <v>RESIGNED</v>
      </c>
      <c r="V192" s="2">
        <f t="shared" ca="1" si="30"/>
        <v>457</v>
      </c>
      <c r="W192" s="2">
        <f t="shared" ca="1" si="31"/>
        <v>15</v>
      </c>
      <c r="X192" s="2">
        <f t="shared" ca="1" si="32"/>
        <v>1</v>
      </c>
      <c r="Y192" s="2"/>
      <c r="Z192" s="2"/>
      <c r="AA192" s="2" t="str">
        <f t="shared" ca="1" si="41"/>
        <v>OK</v>
      </c>
    </row>
    <row r="193" spans="1:27" x14ac:dyDescent="0.3">
      <c r="A193" s="2" t="s">
        <v>623</v>
      </c>
      <c r="B193" s="2" t="str">
        <f t="shared" si="33"/>
        <v>EMP192</v>
      </c>
      <c r="C193" s="2" t="s">
        <v>47</v>
      </c>
      <c r="D193" s="2" t="str">
        <f t="shared" si="34"/>
        <v>Sunita</v>
      </c>
      <c r="E193" s="2" t="s">
        <v>12</v>
      </c>
      <c r="F193" s="2" t="str">
        <f t="shared" si="35"/>
        <v>IT</v>
      </c>
      <c r="G193" s="6" t="s">
        <v>624</v>
      </c>
      <c r="H193" s="8">
        <f t="shared" si="36"/>
        <v>44882</v>
      </c>
      <c r="I193" s="2" t="s">
        <v>625</v>
      </c>
      <c r="J193" s="3">
        <f t="shared" ca="1" si="37"/>
        <v>45060</v>
      </c>
      <c r="K193" s="2">
        <v>9944268957</v>
      </c>
      <c r="L193" s="2">
        <f t="shared" si="38"/>
        <v>9944268957</v>
      </c>
      <c r="M193" s="2" t="s">
        <v>234</v>
      </c>
      <c r="N193" s="2" t="str">
        <f t="shared" si="39"/>
        <v>amit@gmail.com</v>
      </c>
      <c r="O193" s="12">
        <v>28724</v>
      </c>
      <c r="P193" s="2" t="str">
        <f t="shared" si="28"/>
        <v>20K-40K</v>
      </c>
      <c r="Q193" s="2"/>
      <c r="R193" s="2" t="s">
        <v>79</v>
      </c>
      <c r="S193" s="2" t="str">
        <f t="shared" si="29"/>
        <v>M20</v>
      </c>
      <c r="T193" s="2" t="s">
        <v>37</v>
      </c>
      <c r="U193" s="2" t="str">
        <f t="shared" si="40"/>
        <v>ACTIVE</v>
      </c>
      <c r="V193" s="2">
        <f t="shared" ca="1" si="30"/>
        <v>178</v>
      </c>
      <c r="W193" s="2">
        <f t="shared" ca="1" si="31"/>
        <v>5</v>
      </c>
      <c r="X193" s="2">
        <f t="shared" ca="1" si="32"/>
        <v>0</v>
      </c>
      <c r="Y193" s="2"/>
      <c r="Z193" s="2"/>
      <c r="AA193" s="2" t="str">
        <f t="shared" ca="1" si="41"/>
        <v>OK</v>
      </c>
    </row>
    <row r="194" spans="1:27" x14ac:dyDescent="0.3">
      <c r="A194" s="2" t="s">
        <v>626</v>
      </c>
      <c r="B194" s="2" t="str">
        <f t="shared" si="33"/>
        <v>EMP193</v>
      </c>
      <c r="C194" s="2" t="s">
        <v>63</v>
      </c>
      <c r="D194" s="2" t="str">
        <f t="shared" si="34"/>
        <v>Pooja</v>
      </c>
      <c r="E194" s="2" t="s">
        <v>19</v>
      </c>
      <c r="F194" s="2" t="str">
        <f t="shared" si="35"/>
        <v>FINANCE</v>
      </c>
      <c r="G194" s="6" t="s">
        <v>627</v>
      </c>
      <c r="H194" s="8">
        <f t="shared" si="36"/>
        <v>45238</v>
      </c>
      <c r="I194" s="2" t="s">
        <v>628</v>
      </c>
      <c r="J194" s="3">
        <f t="shared" ca="1" si="37"/>
        <v>46222</v>
      </c>
      <c r="K194" s="2">
        <v>9859883779</v>
      </c>
      <c r="L194" s="2">
        <f t="shared" si="38"/>
        <v>9859883779</v>
      </c>
      <c r="M194" s="2" t="s">
        <v>84</v>
      </c>
      <c r="N194" s="2" t="str">
        <f t="shared" si="39"/>
        <v>ankit@company.com</v>
      </c>
      <c r="O194" s="12">
        <v>68866</v>
      </c>
      <c r="P194" s="2" t="str">
        <f t="shared" ref="P194:P257" si="42">IF(O194&lt;20000,"Below 20K",
IF(O194&lt;=40000,"20K-40K",
IF(O194&lt;=60000,"40K-60K",
IF(O194&lt;=80000,"60K-80K",
"Above 80K"))))</f>
        <v>60K-80K</v>
      </c>
      <c r="Q194" s="2"/>
      <c r="R194" s="2" t="s">
        <v>75</v>
      </c>
      <c r="S194" s="2" t="str">
        <f t="shared" ref="S194:S257" si="43">TRIM(CLEAN(SUBSTITUTE(R194," ","")))</f>
        <v>M12</v>
      </c>
      <c r="T194" s="2" t="s">
        <v>17</v>
      </c>
      <c r="U194" s="2" t="str">
        <f t="shared" si="40"/>
        <v>RESIGNED</v>
      </c>
      <c r="V194" s="2">
        <f t="shared" ref="V194:V257" ca="1" si="44">DATEDIF(H194,J194,"D")</f>
        <v>984</v>
      </c>
      <c r="W194" s="2">
        <f t="shared" ref="W194:W257" ca="1" si="45">DATEDIF(H194,J194,"M")</f>
        <v>32</v>
      </c>
      <c r="X194" s="2">
        <f t="shared" ref="X194:X257" ca="1" si="46">DATEDIF(H194,J194,"Y")</f>
        <v>2</v>
      </c>
      <c r="Y194" s="2"/>
      <c r="Z194" s="2"/>
      <c r="AA194" s="2" t="str">
        <f t="shared" ca="1" si="41"/>
        <v>OK</v>
      </c>
    </row>
    <row r="195" spans="1:27" x14ac:dyDescent="0.3">
      <c r="A195" s="2" t="s">
        <v>629</v>
      </c>
      <c r="B195" s="2" t="str">
        <f t="shared" ref="B195:B258" si="47">TRIM(UPPER(A195))</f>
        <v>EMP194</v>
      </c>
      <c r="C195" s="2" t="s">
        <v>81</v>
      </c>
      <c r="D195" s="2" t="str">
        <f t="shared" ref="D195:D258" si="48">PROPER(TRIM(C195))</f>
        <v>Suresh</v>
      </c>
      <c r="E195" s="2" t="s">
        <v>33</v>
      </c>
      <c r="F195" s="2" t="str">
        <f t="shared" ref="F195:F258" si="49">TRIM(UPPER(E195))</f>
        <v>IT</v>
      </c>
      <c r="G195" s="6" t="s">
        <v>630</v>
      </c>
      <c r="H195" s="8">
        <f t="shared" ref="H195:H258" si="50">DATEVALUE(G195)</f>
        <v>43830</v>
      </c>
      <c r="I195" s="2" t="s">
        <v>631</v>
      </c>
      <c r="J195" s="3">
        <f t="shared" ref="J195:J258" ca="1" si="51">IF(I195="",TODAY(),DATEVALUE(I195))</f>
        <v>44953</v>
      </c>
      <c r="K195" s="2">
        <v>9354615373</v>
      </c>
      <c r="L195" s="2">
        <f t="shared" ref="L195:L258" si="52">VALUE(K195)</f>
        <v>9354615373</v>
      </c>
      <c r="M195" s="2" t="s">
        <v>118</v>
      </c>
      <c r="N195" s="2" t="str">
        <f t="shared" ref="N195:N258" si="53">TRIM(LOWER(M195))</f>
        <v>rahul@company.com</v>
      </c>
      <c r="O195" s="12">
        <v>30226</v>
      </c>
      <c r="P195" s="2" t="str">
        <f t="shared" si="42"/>
        <v>20K-40K</v>
      </c>
      <c r="Q195" s="2"/>
      <c r="R195" s="2" t="s">
        <v>166</v>
      </c>
      <c r="S195" s="2" t="str">
        <f t="shared" si="43"/>
        <v>M7</v>
      </c>
      <c r="T195" s="2" t="s">
        <v>45</v>
      </c>
      <c r="U195" s="2" t="str">
        <f t="shared" ref="U195:U258" si="54">TRIM(UPPER(T195))</f>
        <v>RESIGNED</v>
      </c>
      <c r="V195" s="2">
        <f t="shared" ca="1" si="44"/>
        <v>1123</v>
      </c>
      <c r="W195" s="2">
        <f t="shared" ca="1" si="45"/>
        <v>36</v>
      </c>
      <c r="X195" s="2">
        <f t="shared" ca="1" si="46"/>
        <v>3</v>
      </c>
      <c r="Y195" s="2"/>
      <c r="Z195" s="2"/>
      <c r="AA195" s="2" t="str">
        <f t="shared" ref="AA195:AA258" ca="1" si="55">IF(AND(O195&gt;80000,X195&lt;2),"CHECK","OK")</f>
        <v>OK</v>
      </c>
    </row>
    <row r="196" spans="1:27" x14ac:dyDescent="0.3">
      <c r="A196" s="2" t="s">
        <v>632</v>
      </c>
      <c r="B196" s="2" t="str">
        <f t="shared" si="47"/>
        <v>EMP195</v>
      </c>
      <c r="C196" s="2" t="s">
        <v>63</v>
      </c>
      <c r="D196" s="2" t="str">
        <f t="shared" si="48"/>
        <v>Pooja</v>
      </c>
      <c r="E196" s="2" t="s">
        <v>12</v>
      </c>
      <c r="F196" s="2" t="str">
        <f t="shared" si="49"/>
        <v>IT</v>
      </c>
      <c r="G196" s="6" t="s">
        <v>633</v>
      </c>
      <c r="H196" s="8">
        <f t="shared" si="50"/>
        <v>45180</v>
      </c>
      <c r="I196" s="2" t="s">
        <v>634</v>
      </c>
      <c r="J196" s="3">
        <f t="shared" ca="1" si="51"/>
        <v>45859</v>
      </c>
      <c r="K196" s="2">
        <v>9746308252</v>
      </c>
      <c r="L196" s="2">
        <f t="shared" si="52"/>
        <v>9746308252</v>
      </c>
      <c r="M196" s="2" t="s">
        <v>51</v>
      </c>
      <c r="N196" s="2" t="str">
        <f t="shared" si="53"/>
        <v>kiran@company.com</v>
      </c>
      <c r="O196" s="12">
        <v>76165</v>
      </c>
      <c r="P196" s="2" t="str">
        <f t="shared" si="42"/>
        <v>60K-80K</v>
      </c>
      <c r="Q196" s="2"/>
      <c r="R196" s="2" t="s">
        <v>108</v>
      </c>
      <c r="S196" s="2" t="str">
        <f t="shared" si="43"/>
        <v>M10</v>
      </c>
      <c r="T196" s="2" t="s">
        <v>37</v>
      </c>
      <c r="U196" s="2" t="str">
        <f t="shared" si="54"/>
        <v>ACTIVE</v>
      </c>
      <c r="V196" s="2">
        <f t="shared" ca="1" si="44"/>
        <v>679</v>
      </c>
      <c r="W196" s="2">
        <f t="shared" ca="1" si="45"/>
        <v>22</v>
      </c>
      <c r="X196" s="2">
        <f t="shared" ca="1" si="46"/>
        <v>1</v>
      </c>
      <c r="Y196" s="2"/>
      <c r="Z196" s="2"/>
      <c r="AA196" s="2" t="str">
        <f t="shared" ca="1" si="55"/>
        <v>OK</v>
      </c>
    </row>
    <row r="197" spans="1:27" x14ac:dyDescent="0.3">
      <c r="A197" s="2" t="s">
        <v>635</v>
      </c>
      <c r="B197" s="2" t="str">
        <f t="shared" si="47"/>
        <v>EMP196</v>
      </c>
      <c r="C197" s="2" t="s">
        <v>161</v>
      </c>
      <c r="D197" s="2" t="str">
        <f t="shared" si="48"/>
        <v>Kiran</v>
      </c>
      <c r="E197" s="2" t="s">
        <v>40</v>
      </c>
      <c r="F197" s="2" t="str">
        <f t="shared" si="49"/>
        <v>SALES</v>
      </c>
      <c r="G197" s="6" t="s">
        <v>636</v>
      </c>
      <c r="H197" s="8">
        <f t="shared" si="50"/>
        <v>45164</v>
      </c>
      <c r="I197" s="2"/>
      <c r="J197" s="3">
        <f t="shared" ca="1" si="51"/>
        <v>46024</v>
      </c>
      <c r="K197" s="2">
        <v>9463899766</v>
      </c>
      <c r="L197" s="2">
        <f t="shared" si="52"/>
        <v>9463899766</v>
      </c>
      <c r="M197" s="2" t="s">
        <v>70</v>
      </c>
      <c r="N197" s="2" t="str">
        <f t="shared" si="53"/>
        <v>sunita@company.com</v>
      </c>
      <c r="O197" s="12">
        <v>40570</v>
      </c>
      <c r="P197" s="2" t="str">
        <f t="shared" si="42"/>
        <v>40K-60K</v>
      </c>
      <c r="Q197" s="2"/>
      <c r="R197" s="2" t="s">
        <v>16</v>
      </c>
      <c r="S197" s="2" t="str">
        <f t="shared" si="43"/>
        <v>M4</v>
      </c>
      <c r="T197" s="2" t="s">
        <v>37</v>
      </c>
      <c r="U197" s="2" t="str">
        <f t="shared" si="54"/>
        <v>ACTIVE</v>
      </c>
      <c r="V197" s="2">
        <f t="shared" ca="1" si="44"/>
        <v>860</v>
      </c>
      <c r="W197" s="2">
        <f t="shared" ca="1" si="45"/>
        <v>28</v>
      </c>
      <c r="X197" s="2">
        <f t="shared" ca="1" si="46"/>
        <v>2</v>
      </c>
      <c r="Y197" s="2"/>
      <c r="Z197" s="2"/>
      <c r="AA197" s="2" t="str">
        <f t="shared" ca="1" si="55"/>
        <v>OK</v>
      </c>
    </row>
    <row r="198" spans="1:27" x14ac:dyDescent="0.3">
      <c r="A198" s="2" t="s">
        <v>637</v>
      </c>
      <c r="B198" s="2" t="str">
        <f t="shared" si="47"/>
        <v>EMP197</v>
      </c>
      <c r="C198" s="2" t="s">
        <v>47</v>
      </c>
      <c r="D198" s="2" t="str">
        <f t="shared" si="48"/>
        <v>Sunita</v>
      </c>
      <c r="E198" s="2" t="s">
        <v>12</v>
      </c>
      <c r="F198" s="2" t="str">
        <f t="shared" si="49"/>
        <v>IT</v>
      </c>
      <c r="G198" s="6" t="s">
        <v>638</v>
      </c>
      <c r="H198" s="8">
        <f t="shared" si="50"/>
        <v>45129</v>
      </c>
      <c r="I198" s="2" t="s">
        <v>639</v>
      </c>
      <c r="J198" s="3">
        <f t="shared" ca="1" si="51"/>
        <v>46518</v>
      </c>
      <c r="K198" s="2">
        <v>9519758109</v>
      </c>
      <c r="L198" s="2">
        <f t="shared" si="52"/>
        <v>9519758109</v>
      </c>
      <c r="M198" s="2" t="s">
        <v>43</v>
      </c>
      <c r="N198" s="2" t="str">
        <f t="shared" si="53"/>
        <v>ravi@company.com</v>
      </c>
      <c r="O198" s="12">
        <v>17382</v>
      </c>
      <c r="P198" s="2" t="str">
        <f t="shared" si="42"/>
        <v>Below 20K</v>
      </c>
      <c r="Q198" s="2"/>
      <c r="R198" s="2" t="s">
        <v>71</v>
      </c>
      <c r="S198" s="2" t="str">
        <f t="shared" si="43"/>
        <v>M14</v>
      </c>
      <c r="T198" s="2" t="s">
        <v>37</v>
      </c>
      <c r="U198" s="2" t="str">
        <f t="shared" si="54"/>
        <v>ACTIVE</v>
      </c>
      <c r="V198" s="2">
        <f t="shared" ca="1" si="44"/>
        <v>1389</v>
      </c>
      <c r="W198" s="2">
        <f t="shared" ca="1" si="45"/>
        <v>45</v>
      </c>
      <c r="X198" s="2">
        <f t="shared" ca="1" si="46"/>
        <v>3</v>
      </c>
      <c r="Y198" s="2"/>
      <c r="Z198" s="2"/>
      <c r="AA198" s="2" t="str">
        <f t="shared" ca="1" si="55"/>
        <v>OK</v>
      </c>
    </row>
    <row r="199" spans="1:27" x14ac:dyDescent="0.3">
      <c r="A199" s="2" t="s">
        <v>640</v>
      </c>
      <c r="B199" s="2" t="str">
        <f t="shared" si="47"/>
        <v>EMP198</v>
      </c>
      <c r="C199" s="2" t="s">
        <v>96</v>
      </c>
      <c r="D199" s="2" t="str">
        <f t="shared" si="48"/>
        <v>Neha</v>
      </c>
      <c r="E199" s="2" t="s">
        <v>57</v>
      </c>
      <c r="F199" s="2" t="str">
        <f t="shared" si="49"/>
        <v>HR</v>
      </c>
      <c r="G199" s="6" t="s">
        <v>641</v>
      </c>
      <c r="H199" s="8">
        <f t="shared" si="50"/>
        <v>45109</v>
      </c>
      <c r="I199" s="2" t="s">
        <v>642</v>
      </c>
      <c r="J199" s="3">
        <f t="shared" ca="1" si="51"/>
        <v>45987</v>
      </c>
      <c r="K199" s="2">
        <v>9880329186</v>
      </c>
      <c r="L199" s="2">
        <f t="shared" si="52"/>
        <v>9880329186</v>
      </c>
      <c r="M199" s="2" t="s">
        <v>22</v>
      </c>
      <c r="N199" s="2" t="str">
        <f t="shared" si="53"/>
        <v>pooja@company.com</v>
      </c>
      <c r="O199" s="12">
        <v>19485</v>
      </c>
      <c r="P199" s="2" t="str">
        <f t="shared" si="42"/>
        <v>Below 20K</v>
      </c>
      <c r="Q199" s="2"/>
      <c r="R199" s="2" t="s">
        <v>643</v>
      </c>
      <c r="S199" s="2" t="str">
        <f t="shared" si="43"/>
        <v>M11</v>
      </c>
      <c r="T199" s="2" t="s">
        <v>31</v>
      </c>
      <c r="U199" s="2" t="str">
        <f t="shared" si="54"/>
        <v>ON HOLD</v>
      </c>
      <c r="V199" s="2">
        <f t="shared" ca="1" si="44"/>
        <v>878</v>
      </c>
      <c r="W199" s="2">
        <f t="shared" ca="1" si="45"/>
        <v>28</v>
      </c>
      <c r="X199" s="2">
        <f t="shared" ca="1" si="46"/>
        <v>2</v>
      </c>
      <c r="Y199" s="2"/>
      <c r="Z199" s="2"/>
      <c r="AA199" s="2" t="str">
        <f t="shared" ca="1" si="55"/>
        <v>OK</v>
      </c>
    </row>
    <row r="200" spans="1:27" x14ac:dyDescent="0.3">
      <c r="A200" s="2" t="s">
        <v>644</v>
      </c>
      <c r="B200" s="2" t="str">
        <f t="shared" si="47"/>
        <v>EMP199</v>
      </c>
      <c r="C200" s="2" t="s">
        <v>115</v>
      </c>
      <c r="D200" s="2" t="str">
        <f t="shared" si="48"/>
        <v>Rahul</v>
      </c>
      <c r="E200" s="2" t="s">
        <v>12</v>
      </c>
      <c r="F200" s="2" t="str">
        <f t="shared" si="49"/>
        <v>IT</v>
      </c>
      <c r="G200" s="6" t="s">
        <v>645</v>
      </c>
      <c r="H200" s="8">
        <f t="shared" si="50"/>
        <v>45117</v>
      </c>
      <c r="I200" s="2" t="s">
        <v>646</v>
      </c>
      <c r="J200" s="3">
        <f t="shared" ca="1" si="51"/>
        <v>46548</v>
      </c>
      <c r="K200" s="2">
        <v>9404972753</v>
      </c>
      <c r="L200" s="2">
        <f t="shared" si="52"/>
        <v>9404972753</v>
      </c>
      <c r="M200" s="2" t="s">
        <v>84</v>
      </c>
      <c r="N200" s="2" t="str">
        <f t="shared" si="53"/>
        <v>ankit@company.com</v>
      </c>
      <c r="O200" s="12">
        <v>76640</v>
      </c>
      <c r="P200" s="2" t="str">
        <f t="shared" si="42"/>
        <v>60K-80K</v>
      </c>
      <c r="Q200" s="2"/>
      <c r="R200" s="2" t="s">
        <v>55</v>
      </c>
      <c r="S200" s="2" t="str">
        <f t="shared" si="43"/>
        <v>M2</v>
      </c>
      <c r="T200" s="2" t="s">
        <v>17</v>
      </c>
      <c r="U200" s="2" t="str">
        <f t="shared" si="54"/>
        <v>RESIGNED</v>
      </c>
      <c r="V200" s="2">
        <f t="shared" ca="1" si="44"/>
        <v>1431</v>
      </c>
      <c r="W200" s="2">
        <f t="shared" ca="1" si="45"/>
        <v>47</v>
      </c>
      <c r="X200" s="2">
        <f t="shared" ca="1" si="46"/>
        <v>3</v>
      </c>
      <c r="Y200" s="2"/>
      <c r="Z200" s="2"/>
      <c r="AA200" s="2" t="str">
        <f t="shared" ca="1" si="55"/>
        <v>OK</v>
      </c>
    </row>
    <row r="201" spans="1:27" x14ac:dyDescent="0.3">
      <c r="A201" s="2" t="s">
        <v>647</v>
      </c>
      <c r="B201" s="2" t="str">
        <f t="shared" si="47"/>
        <v>EMP200</v>
      </c>
      <c r="C201" s="2" t="s">
        <v>47</v>
      </c>
      <c r="D201" s="2" t="str">
        <f t="shared" si="48"/>
        <v>Sunita</v>
      </c>
      <c r="E201" s="2" t="s">
        <v>40</v>
      </c>
      <c r="F201" s="2" t="str">
        <f t="shared" si="49"/>
        <v>SALES</v>
      </c>
      <c r="G201" s="6" t="s">
        <v>648</v>
      </c>
      <c r="H201" s="8">
        <f t="shared" si="50"/>
        <v>44515</v>
      </c>
      <c r="I201" s="2" t="s">
        <v>649</v>
      </c>
      <c r="J201" s="3">
        <f t="shared" ca="1" si="51"/>
        <v>44596</v>
      </c>
      <c r="K201" s="2">
        <v>9684580891</v>
      </c>
      <c r="L201" s="2">
        <f t="shared" si="52"/>
        <v>9684580891</v>
      </c>
      <c r="M201" s="2" t="s">
        <v>650</v>
      </c>
      <c r="N201" s="2" t="str">
        <f t="shared" si="53"/>
        <v>rahul@gmail.com</v>
      </c>
      <c r="O201" s="12">
        <v>80560</v>
      </c>
      <c r="P201" s="2" t="str">
        <f t="shared" si="42"/>
        <v>Above 80K</v>
      </c>
      <c r="Q201" s="2"/>
      <c r="R201" s="2" t="s">
        <v>122</v>
      </c>
      <c r="S201" s="2" t="str">
        <f t="shared" si="43"/>
        <v>M5</v>
      </c>
      <c r="T201" s="2" t="s">
        <v>31</v>
      </c>
      <c r="U201" s="2" t="str">
        <f t="shared" si="54"/>
        <v>ON HOLD</v>
      </c>
      <c r="V201" s="2">
        <f t="shared" ca="1" si="44"/>
        <v>81</v>
      </c>
      <c r="W201" s="2">
        <f t="shared" ca="1" si="45"/>
        <v>2</v>
      </c>
      <c r="X201" s="2">
        <f t="shared" ca="1" si="46"/>
        <v>0</v>
      </c>
      <c r="Y201" s="2"/>
      <c r="Z201" s="2"/>
      <c r="AA201" s="2" t="str">
        <f t="shared" ca="1" si="55"/>
        <v>CHECK</v>
      </c>
    </row>
    <row r="202" spans="1:27" x14ac:dyDescent="0.3">
      <c r="A202" s="2" t="s">
        <v>651</v>
      </c>
      <c r="B202" s="2" t="str">
        <f t="shared" si="47"/>
        <v>EMP201</v>
      </c>
      <c r="C202" s="2" t="s">
        <v>161</v>
      </c>
      <c r="D202" s="2" t="str">
        <f t="shared" si="48"/>
        <v>Kiran</v>
      </c>
      <c r="E202" s="2" t="s">
        <v>12</v>
      </c>
      <c r="F202" s="2" t="str">
        <f t="shared" si="49"/>
        <v>IT</v>
      </c>
      <c r="G202" s="6" t="s">
        <v>652</v>
      </c>
      <c r="H202" s="8">
        <f t="shared" si="50"/>
        <v>43780</v>
      </c>
      <c r="I202" s="2" t="s">
        <v>653</v>
      </c>
      <c r="J202" s="3">
        <f t="shared" ca="1" si="51"/>
        <v>45236</v>
      </c>
      <c r="K202" s="2">
        <v>9289362180</v>
      </c>
      <c r="L202" s="2">
        <f t="shared" si="52"/>
        <v>9289362180</v>
      </c>
      <c r="M202" s="2" t="s">
        <v>118</v>
      </c>
      <c r="N202" s="2" t="str">
        <f t="shared" si="53"/>
        <v>rahul@company.com</v>
      </c>
      <c r="O202" s="12">
        <v>20786</v>
      </c>
      <c r="P202" s="2" t="str">
        <f t="shared" si="42"/>
        <v>20K-40K</v>
      </c>
      <c r="Q202" s="2"/>
      <c r="R202" s="2" t="s">
        <v>108</v>
      </c>
      <c r="S202" s="2" t="str">
        <f t="shared" si="43"/>
        <v>M10</v>
      </c>
      <c r="T202" s="2" t="s">
        <v>37</v>
      </c>
      <c r="U202" s="2" t="str">
        <f t="shared" si="54"/>
        <v>ACTIVE</v>
      </c>
      <c r="V202" s="2">
        <f t="shared" ca="1" si="44"/>
        <v>1456</v>
      </c>
      <c r="W202" s="2">
        <f t="shared" ca="1" si="45"/>
        <v>47</v>
      </c>
      <c r="X202" s="2">
        <f t="shared" ca="1" si="46"/>
        <v>3</v>
      </c>
      <c r="Y202" s="2"/>
      <c r="Z202" s="2"/>
      <c r="AA202" s="2" t="str">
        <f t="shared" ca="1" si="55"/>
        <v>OK</v>
      </c>
    </row>
    <row r="203" spans="1:27" x14ac:dyDescent="0.3">
      <c r="A203" s="2" t="s">
        <v>654</v>
      </c>
      <c r="B203" s="2" t="str">
        <f t="shared" si="47"/>
        <v>EMP202</v>
      </c>
      <c r="C203" s="2" t="s">
        <v>161</v>
      </c>
      <c r="D203" s="2" t="str">
        <f t="shared" si="48"/>
        <v>Kiran</v>
      </c>
      <c r="E203" s="2" t="s">
        <v>48</v>
      </c>
      <c r="F203" s="2" t="str">
        <f t="shared" si="49"/>
        <v>FINANCE</v>
      </c>
      <c r="G203" s="6" t="s">
        <v>655</v>
      </c>
      <c r="H203" s="8">
        <f t="shared" si="50"/>
        <v>44565</v>
      </c>
      <c r="I203" s="2" t="s">
        <v>656</v>
      </c>
      <c r="J203" s="3">
        <f t="shared" ca="1" si="51"/>
        <v>45555</v>
      </c>
      <c r="K203" s="2">
        <v>9668303688</v>
      </c>
      <c r="L203" s="2">
        <f t="shared" si="52"/>
        <v>9668303688</v>
      </c>
      <c r="M203" s="2" t="s">
        <v>22</v>
      </c>
      <c r="N203" s="2" t="str">
        <f t="shared" si="53"/>
        <v>pooja@company.com</v>
      </c>
      <c r="O203" s="12">
        <v>82599</v>
      </c>
      <c r="P203" s="2" t="str">
        <f t="shared" si="42"/>
        <v>Above 80K</v>
      </c>
      <c r="Q203" s="2"/>
      <c r="R203" s="2" t="s">
        <v>108</v>
      </c>
      <c r="S203" s="2" t="str">
        <f t="shared" si="43"/>
        <v>M10</v>
      </c>
      <c r="T203" s="2" t="s">
        <v>31</v>
      </c>
      <c r="U203" s="2" t="str">
        <f t="shared" si="54"/>
        <v>ON HOLD</v>
      </c>
      <c r="V203" s="2">
        <f t="shared" ca="1" si="44"/>
        <v>990</v>
      </c>
      <c r="W203" s="2">
        <f t="shared" ca="1" si="45"/>
        <v>32</v>
      </c>
      <c r="X203" s="2">
        <f t="shared" ca="1" si="46"/>
        <v>2</v>
      </c>
      <c r="Y203" s="2"/>
      <c r="Z203" s="2"/>
      <c r="AA203" s="2" t="str">
        <f t="shared" ca="1" si="55"/>
        <v>OK</v>
      </c>
    </row>
    <row r="204" spans="1:27" x14ac:dyDescent="0.3">
      <c r="A204" s="2" t="s">
        <v>657</v>
      </c>
      <c r="B204" s="2" t="str">
        <f t="shared" si="47"/>
        <v>EMP203</v>
      </c>
      <c r="C204" s="2" t="s">
        <v>63</v>
      </c>
      <c r="D204" s="2" t="str">
        <f t="shared" si="48"/>
        <v>Pooja</v>
      </c>
      <c r="E204" s="2" t="s">
        <v>40</v>
      </c>
      <c r="F204" s="2" t="str">
        <f t="shared" si="49"/>
        <v>SALES</v>
      </c>
      <c r="G204" s="6" t="s">
        <v>658</v>
      </c>
      <c r="H204" s="8">
        <f t="shared" si="50"/>
        <v>43489</v>
      </c>
      <c r="I204" s="2"/>
      <c r="J204" s="3">
        <f t="shared" ca="1" si="51"/>
        <v>46024</v>
      </c>
      <c r="K204" s="2">
        <v>9271542988</v>
      </c>
      <c r="L204" s="2">
        <f t="shared" si="52"/>
        <v>9271542988</v>
      </c>
      <c r="M204" s="2" t="s">
        <v>22</v>
      </c>
      <c r="N204" s="2" t="str">
        <f t="shared" si="53"/>
        <v>pooja@company.com</v>
      </c>
      <c r="O204" s="12">
        <v>45085</v>
      </c>
      <c r="P204" s="2" t="str">
        <f t="shared" si="42"/>
        <v>40K-60K</v>
      </c>
      <c r="Q204" s="2"/>
      <c r="R204" s="2" t="s">
        <v>79</v>
      </c>
      <c r="S204" s="2" t="str">
        <f t="shared" si="43"/>
        <v>M20</v>
      </c>
      <c r="T204" s="2" t="s">
        <v>149</v>
      </c>
      <c r="U204" s="2" t="str">
        <f t="shared" si="54"/>
        <v>ACTIVE</v>
      </c>
      <c r="V204" s="2">
        <f t="shared" ca="1" si="44"/>
        <v>2535</v>
      </c>
      <c r="W204" s="2">
        <f t="shared" ca="1" si="45"/>
        <v>83</v>
      </c>
      <c r="X204" s="2">
        <f t="shared" ca="1" si="46"/>
        <v>6</v>
      </c>
      <c r="Y204" s="2"/>
      <c r="Z204" s="2"/>
      <c r="AA204" s="2" t="str">
        <f t="shared" ca="1" si="55"/>
        <v>OK</v>
      </c>
    </row>
    <row r="205" spans="1:27" x14ac:dyDescent="0.3">
      <c r="A205" s="2" t="s">
        <v>659</v>
      </c>
      <c r="B205" s="2" t="str">
        <f t="shared" si="47"/>
        <v>EMP204</v>
      </c>
      <c r="C205" s="2" t="s">
        <v>115</v>
      </c>
      <c r="D205" s="2" t="str">
        <f t="shared" si="48"/>
        <v>Rahul</v>
      </c>
      <c r="E205" s="2" t="s">
        <v>26</v>
      </c>
      <c r="F205" s="2" t="str">
        <f t="shared" si="49"/>
        <v>HR</v>
      </c>
      <c r="G205" s="6" t="s">
        <v>660</v>
      </c>
      <c r="H205" s="8">
        <f t="shared" si="50"/>
        <v>44497</v>
      </c>
      <c r="I205" s="2" t="s">
        <v>661</v>
      </c>
      <c r="J205" s="3">
        <f t="shared" ca="1" si="51"/>
        <v>45058</v>
      </c>
      <c r="K205" s="2">
        <v>9157462398</v>
      </c>
      <c r="L205" s="2">
        <f t="shared" si="52"/>
        <v>9157462398</v>
      </c>
      <c r="M205" s="2" t="s">
        <v>107</v>
      </c>
      <c r="N205" s="2" t="str">
        <f t="shared" si="53"/>
        <v>vikas@company.com</v>
      </c>
      <c r="O205" s="12">
        <v>84409</v>
      </c>
      <c r="P205" s="2" t="str">
        <f t="shared" si="42"/>
        <v>Above 80K</v>
      </c>
      <c r="Q205" s="2"/>
      <c r="R205" s="2" t="s">
        <v>242</v>
      </c>
      <c r="S205" s="2" t="str">
        <f t="shared" si="43"/>
        <v>M17</v>
      </c>
      <c r="T205" s="2" t="s">
        <v>17</v>
      </c>
      <c r="U205" s="2" t="str">
        <f t="shared" si="54"/>
        <v>RESIGNED</v>
      </c>
      <c r="V205" s="2">
        <f t="shared" ca="1" si="44"/>
        <v>561</v>
      </c>
      <c r="W205" s="2">
        <f t="shared" ca="1" si="45"/>
        <v>18</v>
      </c>
      <c r="X205" s="2">
        <f t="shared" ca="1" si="46"/>
        <v>1</v>
      </c>
      <c r="Y205" s="2"/>
      <c r="Z205" s="2"/>
      <c r="AA205" s="2" t="str">
        <f t="shared" ca="1" si="55"/>
        <v>CHECK</v>
      </c>
    </row>
    <row r="206" spans="1:27" x14ac:dyDescent="0.3">
      <c r="A206" s="2" t="s">
        <v>662</v>
      </c>
      <c r="B206" s="2" t="str">
        <f t="shared" si="47"/>
        <v>EMP205</v>
      </c>
      <c r="C206" s="2" t="s">
        <v>104</v>
      </c>
      <c r="D206" s="2" t="str">
        <f t="shared" si="48"/>
        <v>Vikas</v>
      </c>
      <c r="E206" s="2" t="s">
        <v>12</v>
      </c>
      <c r="F206" s="2" t="str">
        <f t="shared" si="49"/>
        <v>IT</v>
      </c>
      <c r="G206" s="6" t="s">
        <v>663</v>
      </c>
      <c r="H206" s="8">
        <f t="shared" si="50"/>
        <v>44296</v>
      </c>
      <c r="I206" s="2" t="s">
        <v>664</v>
      </c>
      <c r="J206" s="3">
        <f t="shared" ca="1" si="51"/>
        <v>45065</v>
      </c>
      <c r="K206" s="2">
        <v>9898723546</v>
      </c>
      <c r="L206" s="2">
        <f t="shared" si="52"/>
        <v>9898723546</v>
      </c>
      <c r="M206" s="2" t="s">
        <v>70</v>
      </c>
      <c r="N206" s="2" t="str">
        <f t="shared" si="53"/>
        <v>sunita@company.com</v>
      </c>
      <c r="O206" s="12">
        <v>70855</v>
      </c>
      <c r="P206" s="2" t="str">
        <f t="shared" si="42"/>
        <v>60K-80K</v>
      </c>
      <c r="Q206" s="2"/>
      <c r="R206" s="2" t="s">
        <v>186</v>
      </c>
      <c r="S206" s="2" t="str">
        <f t="shared" si="43"/>
        <v>M11</v>
      </c>
      <c r="T206" s="2" t="s">
        <v>37</v>
      </c>
      <c r="U206" s="2" t="str">
        <f t="shared" si="54"/>
        <v>ACTIVE</v>
      </c>
      <c r="V206" s="2">
        <f t="shared" ca="1" si="44"/>
        <v>769</v>
      </c>
      <c r="W206" s="2">
        <f t="shared" ca="1" si="45"/>
        <v>25</v>
      </c>
      <c r="X206" s="2">
        <f t="shared" ca="1" si="46"/>
        <v>2</v>
      </c>
      <c r="Y206" s="2"/>
      <c r="Z206" s="2"/>
      <c r="AA206" s="2" t="str">
        <f t="shared" ca="1" si="55"/>
        <v>OK</v>
      </c>
    </row>
    <row r="207" spans="1:27" x14ac:dyDescent="0.3">
      <c r="A207" s="2" t="s">
        <v>665</v>
      </c>
      <c r="B207" s="2" t="str">
        <f t="shared" si="47"/>
        <v>EMP206</v>
      </c>
      <c r="C207" s="2" t="s">
        <v>39</v>
      </c>
      <c r="D207" s="2" t="str">
        <f t="shared" si="48"/>
        <v>Amit</v>
      </c>
      <c r="E207" s="2" t="s">
        <v>33</v>
      </c>
      <c r="F207" s="2" t="str">
        <f t="shared" si="49"/>
        <v>IT</v>
      </c>
      <c r="G207" s="6" t="s">
        <v>666</v>
      </c>
      <c r="H207" s="8">
        <f t="shared" si="50"/>
        <v>43772</v>
      </c>
      <c r="I207" s="2" t="s">
        <v>667</v>
      </c>
      <c r="J207" s="3">
        <f t="shared" ca="1" si="51"/>
        <v>44114</v>
      </c>
      <c r="K207" s="2">
        <v>9934554759</v>
      </c>
      <c r="L207" s="2">
        <f t="shared" si="52"/>
        <v>9934554759</v>
      </c>
      <c r="M207" s="2" t="s">
        <v>107</v>
      </c>
      <c r="N207" s="2" t="str">
        <f t="shared" si="53"/>
        <v>vikas@company.com</v>
      </c>
      <c r="O207" s="12">
        <v>86132</v>
      </c>
      <c r="P207" s="2" t="str">
        <f t="shared" si="42"/>
        <v>Above 80K</v>
      </c>
      <c r="Q207" s="2"/>
      <c r="R207" s="2" t="s">
        <v>71</v>
      </c>
      <c r="S207" s="2" t="str">
        <f t="shared" si="43"/>
        <v>M14</v>
      </c>
      <c r="T207" s="2" t="s">
        <v>45</v>
      </c>
      <c r="U207" s="2" t="str">
        <f t="shared" si="54"/>
        <v>RESIGNED</v>
      </c>
      <c r="V207" s="2">
        <f t="shared" ca="1" si="44"/>
        <v>342</v>
      </c>
      <c r="W207" s="2">
        <f t="shared" ca="1" si="45"/>
        <v>11</v>
      </c>
      <c r="X207" s="2">
        <f t="shared" ca="1" si="46"/>
        <v>0</v>
      </c>
      <c r="Y207" s="2"/>
      <c r="Z207" s="2"/>
      <c r="AA207" s="2" t="str">
        <f t="shared" ca="1" si="55"/>
        <v>CHECK</v>
      </c>
    </row>
    <row r="208" spans="1:27" x14ac:dyDescent="0.3">
      <c r="A208" s="2" t="s">
        <v>668</v>
      </c>
      <c r="B208" s="2" t="str">
        <f t="shared" si="47"/>
        <v>EMP207</v>
      </c>
      <c r="C208" s="2" t="s">
        <v>25</v>
      </c>
      <c r="D208" s="2" t="str">
        <f t="shared" si="48"/>
        <v>Ankit</v>
      </c>
      <c r="E208" s="2" t="s">
        <v>57</v>
      </c>
      <c r="F208" s="2" t="str">
        <f t="shared" si="49"/>
        <v>HR</v>
      </c>
      <c r="G208" s="6" t="s">
        <v>669</v>
      </c>
      <c r="H208" s="8">
        <f t="shared" si="50"/>
        <v>44839</v>
      </c>
      <c r="I208" s="2" t="s">
        <v>670</v>
      </c>
      <c r="J208" s="3">
        <f t="shared" ca="1" si="51"/>
        <v>44982</v>
      </c>
      <c r="K208" s="2">
        <v>9375991392</v>
      </c>
      <c r="L208" s="2">
        <f t="shared" si="52"/>
        <v>9375991392</v>
      </c>
      <c r="M208" s="2" t="s">
        <v>29</v>
      </c>
      <c r="N208" s="2" t="str">
        <f t="shared" si="53"/>
        <v>suresh@company.com</v>
      </c>
      <c r="O208" s="12">
        <v>64514</v>
      </c>
      <c r="P208" s="2" t="str">
        <f t="shared" si="42"/>
        <v>60K-80K</v>
      </c>
      <c r="Q208" s="2"/>
      <c r="R208" s="2" t="s">
        <v>671</v>
      </c>
      <c r="S208" s="2" t="str">
        <f t="shared" si="43"/>
        <v>M14</v>
      </c>
      <c r="T208" s="2" t="s">
        <v>149</v>
      </c>
      <c r="U208" s="2" t="str">
        <f t="shared" si="54"/>
        <v>ACTIVE</v>
      </c>
      <c r="V208" s="2">
        <f t="shared" ca="1" si="44"/>
        <v>143</v>
      </c>
      <c r="W208" s="2">
        <f t="shared" ca="1" si="45"/>
        <v>4</v>
      </c>
      <c r="X208" s="2">
        <f t="shared" ca="1" si="46"/>
        <v>0</v>
      </c>
      <c r="Y208" s="2"/>
      <c r="Z208" s="2"/>
      <c r="AA208" s="2" t="str">
        <f t="shared" ca="1" si="55"/>
        <v>OK</v>
      </c>
    </row>
    <row r="209" spans="1:27" x14ac:dyDescent="0.3">
      <c r="A209" s="2" t="s">
        <v>672</v>
      </c>
      <c r="B209" s="2" t="str">
        <f t="shared" si="47"/>
        <v>EMP208</v>
      </c>
      <c r="C209" s="2" t="s">
        <v>11</v>
      </c>
      <c r="D209" s="2" t="str">
        <f t="shared" si="48"/>
        <v>Ravi</v>
      </c>
      <c r="E209" s="2" t="s">
        <v>57</v>
      </c>
      <c r="F209" s="2" t="str">
        <f t="shared" si="49"/>
        <v>HR</v>
      </c>
      <c r="G209" s="6" t="s">
        <v>673</v>
      </c>
      <c r="H209" s="8">
        <f t="shared" si="50"/>
        <v>45007</v>
      </c>
      <c r="I209" s="2" t="s">
        <v>674</v>
      </c>
      <c r="J209" s="3">
        <f t="shared" ca="1" si="51"/>
        <v>45886</v>
      </c>
      <c r="K209" s="2">
        <v>9831564684</v>
      </c>
      <c r="L209" s="2">
        <f t="shared" si="52"/>
        <v>9831564684</v>
      </c>
      <c r="M209" s="2" t="s">
        <v>259</v>
      </c>
      <c r="N209" s="2" t="str">
        <f t="shared" si="53"/>
        <v>ankit@gmail.com</v>
      </c>
      <c r="O209" s="12">
        <v>66047</v>
      </c>
      <c r="P209" s="2" t="str">
        <f t="shared" si="42"/>
        <v>60K-80K</v>
      </c>
      <c r="Q209" s="2"/>
      <c r="R209" s="2" t="s">
        <v>212</v>
      </c>
      <c r="S209" s="2" t="str">
        <f t="shared" si="43"/>
        <v>M18</v>
      </c>
      <c r="T209" s="2" t="s">
        <v>17</v>
      </c>
      <c r="U209" s="2" t="str">
        <f t="shared" si="54"/>
        <v>RESIGNED</v>
      </c>
      <c r="V209" s="2">
        <f t="shared" ca="1" si="44"/>
        <v>879</v>
      </c>
      <c r="W209" s="2">
        <f t="shared" ca="1" si="45"/>
        <v>28</v>
      </c>
      <c r="X209" s="2">
        <f t="shared" ca="1" si="46"/>
        <v>2</v>
      </c>
      <c r="Y209" s="2"/>
      <c r="Z209" s="2"/>
      <c r="AA209" s="2" t="str">
        <f t="shared" ca="1" si="55"/>
        <v>OK</v>
      </c>
    </row>
    <row r="210" spans="1:27" x14ac:dyDescent="0.3">
      <c r="A210" s="2" t="s">
        <v>675</v>
      </c>
      <c r="B210" s="2" t="str">
        <f t="shared" si="47"/>
        <v>EMP209</v>
      </c>
      <c r="C210" s="2" t="s">
        <v>47</v>
      </c>
      <c r="D210" s="2" t="str">
        <f t="shared" si="48"/>
        <v>Sunita</v>
      </c>
      <c r="E210" s="2" t="s">
        <v>40</v>
      </c>
      <c r="F210" s="2" t="str">
        <f t="shared" si="49"/>
        <v>SALES</v>
      </c>
      <c r="G210" s="6" t="s">
        <v>676</v>
      </c>
      <c r="H210" s="8">
        <f t="shared" si="50"/>
        <v>45014</v>
      </c>
      <c r="I210" s="2" t="s">
        <v>677</v>
      </c>
      <c r="J210" s="3">
        <f t="shared" ca="1" si="51"/>
        <v>45911</v>
      </c>
      <c r="K210" s="2">
        <v>9703749598</v>
      </c>
      <c r="L210" s="2">
        <f t="shared" si="52"/>
        <v>9703749598</v>
      </c>
      <c r="M210" s="2" t="s">
        <v>43</v>
      </c>
      <c r="N210" s="2" t="str">
        <f t="shared" si="53"/>
        <v>ravi@company.com</v>
      </c>
      <c r="O210" s="12">
        <v>54362</v>
      </c>
      <c r="P210" s="2" t="str">
        <f t="shared" si="42"/>
        <v>40K-60K</v>
      </c>
      <c r="Q210" s="2"/>
      <c r="R210" s="2" t="s">
        <v>71</v>
      </c>
      <c r="S210" s="2" t="str">
        <f t="shared" si="43"/>
        <v>M14</v>
      </c>
      <c r="T210" s="2" t="s">
        <v>149</v>
      </c>
      <c r="U210" s="2" t="str">
        <f t="shared" si="54"/>
        <v>ACTIVE</v>
      </c>
      <c r="V210" s="2">
        <f t="shared" ca="1" si="44"/>
        <v>897</v>
      </c>
      <c r="W210" s="2">
        <f t="shared" ca="1" si="45"/>
        <v>29</v>
      </c>
      <c r="X210" s="2">
        <f t="shared" ca="1" si="46"/>
        <v>2</v>
      </c>
      <c r="Y210" s="2"/>
      <c r="Z210" s="2"/>
      <c r="AA210" s="2" t="str">
        <f t="shared" ca="1" si="55"/>
        <v>OK</v>
      </c>
    </row>
    <row r="211" spans="1:27" x14ac:dyDescent="0.3">
      <c r="A211" s="2" t="s">
        <v>678</v>
      </c>
      <c r="B211" s="2" t="str">
        <f t="shared" si="47"/>
        <v>EMP210</v>
      </c>
      <c r="C211" s="2" t="s">
        <v>81</v>
      </c>
      <c r="D211" s="2" t="str">
        <f t="shared" si="48"/>
        <v>Suresh</v>
      </c>
      <c r="E211" s="2" t="s">
        <v>57</v>
      </c>
      <c r="F211" s="2" t="str">
        <f t="shared" si="49"/>
        <v>HR</v>
      </c>
      <c r="G211" s="6" t="s">
        <v>679</v>
      </c>
      <c r="H211" s="8">
        <f t="shared" si="50"/>
        <v>44886</v>
      </c>
      <c r="I211" s="2"/>
      <c r="J211" s="3">
        <f t="shared" ca="1" si="51"/>
        <v>46024</v>
      </c>
      <c r="K211" s="2">
        <v>9702606522</v>
      </c>
      <c r="L211" s="2">
        <f t="shared" si="52"/>
        <v>9702606522</v>
      </c>
      <c r="M211" s="2" t="s">
        <v>118</v>
      </c>
      <c r="N211" s="2" t="str">
        <f t="shared" si="53"/>
        <v>rahul@company.com</v>
      </c>
      <c r="O211" s="12">
        <v>67393</v>
      </c>
      <c r="P211" s="2" t="str">
        <f t="shared" si="42"/>
        <v>60K-80K</v>
      </c>
      <c r="Q211" s="2"/>
      <c r="R211" s="2" t="s">
        <v>122</v>
      </c>
      <c r="S211" s="2" t="str">
        <f t="shared" si="43"/>
        <v>M5</v>
      </c>
      <c r="T211" s="2" t="s">
        <v>37</v>
      </c>
      <c r="U211" s="2" t="str">
        <f t="shared" si="54"/>
        <v>ACTIVE</v>
      </c>
      <c r="V211" s="2">
        <f t="shared" ca="1" si="44"/>
        <v>1138</v>
      </c>
      <c r="W211" s="2">
        <f t="shared" ca="1" si="45"/>
        <v>37</v>
      </c>
      <c r="X211" s="2">
        <f t="shared" ca="1" si="46"/>
        <v>3</v>
      </c>
      <c r="Y211" s="2"/>
      <c r="Z211" s="2"/>
      <c r="AA211" s="2" t="str">
        <f t="shared" ca="1" si="55"/>
        <v>OK</v>
      </c>
    </row>
    <row r="212" spans="1:27" x14ac:dyDescent="0.3">
      <c r="A212" s="2" t="s">
        <v>680</v>
      </c>
      <c r="B212" s="2" t="str">
        <f t="shared" si="47"/>
        <v>EMP211</v>
      </c>
      <c r="C212" s="2" t="s">
        <v>81</v>
      </c>
      <c r="D212" s="2" t="str">
        <f t="shared" si="48"/>
        <v>Suresh</v>
      </c>
      <c r="E212" s="2" t="s">
        <v>40</v>
      </c>
      <c r="F212" s="2" t="str">
        <f t="shared" si="49"/>
        <v>SALES</v>
      </c>
      <c r="G212" s="6" t="s">
        <v>681</v>
      </c>
      <c r="H212" s="8">
        <f t="shared" si="50"/>
        <v>45067</v>
      </c>
      <c r="I212" s="2" t="s">
        <v>682</v>
      </c>
      <c r="J212" s="3">
        <f t="shared" ca="1" si="51"/>
        <v>45592</v>
      </c>
      <c r="K212" s="2">
        <v>9221007941</v>
      </c>
      <c r="L212" s="2">
        <f t="shared" si="52"/>
        <v>9221007941</v>
      </c>
      <c r="M212" s="2" t="s">
        <v>29</v>
      </c>
      <c r="N212" s="2" t="str">
        <f t="shared" si="53"/>
        <v>suresh@company.com</v>
      </c>
      <c r="O212" s="12">
        <v>91862</v>
      </c>
      <c r="P212" s="2" t="str">
        <f t="shared" si="42"/>
        <v>Above 80K</v>
      </c>
      <c r="Q212" s="2"/>
      <c r="R212" s="2" t="s">
        <v>79</v>
      </c>
      <c r="S212" s="2" t="str">
        <f t="shared" si="43"/>
        <v>M20</v>
      </c>
      <c r="T212" s="2" t="s">
        <v>45</v>
      </c>
      <c r="U212" s="2" t="str">
        <f t="shared" si="54"/>
        <v>RESIGNED</v>
      </c>
      <c r="V212" s="2">
        <f t="shared" ca="1" si="44"/>
        <v>525</v>
      </c>
      <c r="W212" s="2">
        <f t="shared" ca="1" si="45"/>
        <v>17</v>
      </c>
      <c r="X212" s="2">
        <f t="shared" ca="1" si="46"/>
        <v>1</v>
      </c>
      <c r="Y212" s="2"/>
      <c r="Z212" s="2"/>
      <c r="AA212" s="2" t="str">
        <f t="shared" ca="1" si="55"/>
        <v>CHECK</v>
      </c>
    </row>
    <row r="213" spans="1:27" x14ac:dyDescent="0.3">
      <c r="A213" s="2" t="s">
        <v>683</v>
      </c>
      <c r="B213" s="2" t="str">
        <f t="shared" si="47"/>
        <v>EMP212</v>
      </c>
      <c r="C213" s="2" t="s">
        <v>81</v>
      </c>
      <c r="D213" s="2" t="str">
        <f t="shared" si="48"/>
        <v>Suresh</v>
      </c>
      <c r="E213" s="2" t="s">
        <v>12</v>
      </c>
      <c r="F213" s="2" t="str">
        <f t="shared" si="49"/>
        <v>IT</v>
      </c>
      <c r="G213" s="6" t="s">
        <v>684</v>
      </c>
      <c r="H213" s="8">
        <f t="shared" si="50"/>
        <v>44812</v>
      </c>
      <c r="I213" s="2" t="s">
        <v>685</v>
      </c>
      <c r="J213" s="3">
        <f t="shared" ca="1" si="51"/>
        <v>45388</v>
      </c>
      <c r="K213" s="2">
        <v>9299936221</v>
      </c>
      <c r="L213" s="2">
        <f t="shared" si="52"/>
        <v>9299936221</v>
      </c>
      <c r="M213" s="2" t="s">
        <v>29</v>
      </c>
      <c r="N213" s="2" t="str">
        <f t="shared" si="53"/>
        <v>suresh@company.com</v>
      </c>
      <c r="O213" s="12">
        <v>33813</v>
      </c>
      <c r="P213" s="2" t="str">
        <f t="shared" si="42"/>
        <v>20K-40K</v>
      </c>
      <c r="Q213" s="2"/>
      <c r="R213" s="2" t="s">
        <v>52</v>
      </c>
      <c r="S213" s="2" t="str">
        <f t="shared" si="43"/>
        <v>M16</v>
      </c>
      <c r="T213" s="2" t="s">
        <v>37</v>
      </c>
      <c r="U213" s="2" t="str">
        <f t="shared" si="54"/>
        <v>ACTIVE</v>
      </c>
      <c r="V213" s="2">
        <f t="shared" ca="1" si="44"/>
        <v>576</v>
      </c>
      <c r="W213" s="2">
        <f t="shared" ca="1" si="45"/>
        <v>18</v>
      </c>
      <c r="X213" s="2">
        <f t="shared" ca="1" si="46"/>
        <v>1</v>
      </c>
      <c r="Y213" s="2"/>
      <c r="Z213" s="2"/>
      <c r="AA213" s="2" t="str">
        <f t="shared" ca="1" si="55"/>
        <v>OK</v>
      </c>
    </row>
    <row r="214" spans="1:27" x14ac:dyDescent="0.3">
      <c r="A214" s="2" t="s">
        <v>686</v>
      </c>
      <c r="B214" s="2" t="str">
        <f t="shared" si="47"/>
        <v>EMP213</v>
      </c>
      <c r="C214" s="2" t="s">
        <v>115</v>
      </c>
      <c r="D214" s="2" t="str">
        <f t="shared" si="48"/>
        <v>Rahul</v>
      </c>
      <c r="E214" s="2" t="s">
        <v>19</v>
      </c>
      <c r="F214" s="2" t="str">
        <f t="shared" si="49"/>
        <v>FINANCE</v>
      </c>
      <c r="G214" s="6" t="s">
        <v>687</v>
      </c>
      <c r="H214" s="8">
        <f t="shared" si="50"/>
        <v>44389</v>
      </c>
      <c r="I214" s="2" t="s">
        <v>688</v>
      </c>
      <c r="J214" s="3">
        <f t="shared" ca="1" si="51"/>
        <v>45569</v>
      </c>
      <c r="K214" s="2">
        <v>9390513140</v>
      </c>
      <c r="L214" s="2">
        <f t="shared" si="52"/>
        <v>9390513140</v>
      </c>
      <c r="M214" s="2" t="s">
        <v>22</v>
      </c>
      <c r="N214" s="2" t="str">
        <f t="shared" si="53"/>
        <v>pooja@company.com</v>
      </c>
      <c r="O214" s="12">
        <v>77493</v>
      </c>
      <c r="P214" s="2" t="str">
        <f t="shared" si="42"/>
        <v>60K-80K</v>
      </c>
      <c r="Q214" s="2"/>
      <c r="R214" s="2" t="s">
        <v>242</v>
      </c>
      <c r="S214" s="2" t="str">
        <f t="shared" si="43"/>
        <v>M17</v>
      </c>
      <c r="T214" s="2" t="s">
        <v>37</v>
      </c>
      <c r="U214" s="2" t="str">
        <f t="shared" si="54"/>
        <v>ACTIVE</v>
      </c>
      <c r="V214" s="2">
        <f t="shared" ca="1" si="44"/>
        <v>1180</v>
      </c>
      <c r="W214" s="2">
        <f t="shared" ca="1" si="45"/>
        <v>38</v>
      </c>
      <c r="X214" s="2">
        <f t="shared" ca="1" si="46"/>
        <v>3</v>
      </c>
      <c r="Y214" s="2"/>
      <c r="Z214" s="2"/>
      <c r="AA214" s="2" t="str">
        <f t="shared" ca="1" si="55"/>
        <v>OK</v>
      </c>
    </row>
    <row r="215" spans="1:27" x14ac:dyDescent="0.3">
      <c r="A215" s="2" t="s">
        <v>689</v>
      </c>
      <c r="B215" s="2" t="str">
        <f t="shared" si="47"/>
        <v>EMP214</v>
      </c>
      <c r="C215" s="2" t="s">
        <v>81</v>
      </c>
      <c r="D215" s="2" t="str">
        <f t="shared" si="48"/>
        <v>Suresh</v>
      </c>
      <c r="E215" s="2" t="s">
        <v>33</v>
      </c>
      <c r="F215" s="2" t="str">
        <f t="shared" si="49"/>
        <v>IT</v>
      </c>
      <c r="G215" s="6" t="s">
        <v>690</v>
      </c>
      <c r="H215" s="8">
        <f t="shared" si="50"/>
        <v>43605</v>
      </c>
      <c r="I215" s="2" t="s">
        <v>691</v>
      </c>
      <c r="J215" s="3">
        <f t="shared" ca="1" si="51"/>
        <v>44040</v>
      </c>
      <c r="K215" s="2">
        <v>9638614637</v>
      </c>
      <c r="L215" s="2">
        <f t="shared" si="52"/>
        <v>9638614637</v>
      </c>
      <c r="M215" s="2" t="s">
        <v>43</v>
      </c>
      <c r="N215" s="2" t="str">
        <f t="shared" si="53"/>
        <v>ravi@company.com</v>
      </c>
      <c r="O215" s="12">
        <v>66939</v>
      </c>
      <c r="P215" s="2" t="str">
        <f t="shared" si="42"/>
        <v>60K-80K</v>
      </c>
      <c r="Q215" s="2"/>
      <c r="R215" s="2" t="s">
        <v>85</v>
      </c>
      <c r="S215" s="2" t="str">
        <f t="shared" si="43"/>
        <v>M24</v>
      </c>
      <c r="T215" s="2" t="s">
        <v>31</v>
      </c>
      <c r="U215" s="2" t="str">
        <f t="shared" si="54"/>
        <v>ON HOLD</v>
      </c>
      <c r="V215" s="2">
        <f t="shared" ca="1" si="44"/>
        <v>435</v>
      </c>
      <c r="W215" s="2">
        <f t="shared" ca="1" si="45"/>
        <v>14</v>
      </c>
      <c r="X215" s="2">
        <f t="shared" ca="1" si="46"/>
        <v>1</v>
      </c>
      <c r="Y215" s="2"/>
      <c r="Z215" s="2"/>
      <c r="AA215" s="2" t="str">
        <f t="shared" ca="1" si="55"/>
        <v>OK</v>
      </c>
    </row>
    <row r="216" spans="1:27" x14ac:dyDescent="0.3">
      <c r="A216" s="2" t="s">
        <v>692</v>
      </c>
      <c r="B216" s="2" t="str">
        <f t="shared" si="47"/>
        <v>EMP215</v>
      </c>
      <c r="C216" s="2" t="s">
        <v>161</v>
      </c>
      <c r="D216" s="2" t="str">
        <f t="shared" si="48"/>
        <v>Kiran</v>
      </c>
      <c r="E216" s="2" t="s">
        <v>40</v>
      </c>
      <c r="F216" s="2" t="str">
        <f t="shared" si="49"/>
        <v>SALES</v>
      </c>
      <c r="G216" s="6" t="s">
        <v>693</v>
      </c>
      <c r="H216" s="8">
        <f t="shared" si="50"/>
        <v>44366</v>
      </c>
      <c r="I216" s="2" t="s">
        <v>694</v>
      </c>
      <c r="J216" s="3">
        <f t="shared" ca="1" si="51"/>
        <v>45078</v>
      </c>
      <c r="K216" s="2">
        <v>9369495615</v>
      </c>
      <c r="L216" s="2">
        <f t="shared" si="52"/>
        <v>9369495615</v>
      </c>
      <c r="M216" s="2" t="s">
        <v>70</v>
      </c>
      <c r="N216" s="2" t="str">
        <f t="shared" si="53"/>
        <v>sunita@company.com</v>
      </c>
      <c r="O216" s="12">
        <v>82172</v>
      </c>
      <c r="P216" s="2" t="str">
        <f t="shared" si="42"/>
        <v>Above 80K</v>
      </c>
      <c r="Q216" s="2"/>
      <c r="R216" s="2" t="s">
        <v>52</v>
      </c>
      <c r="S216" s="2" t="str">
        <f t="shared" si="43"/>
        <v>M16</v>
      </c>
      <c r="T216" s="2" t="s">
        <v>149</v>
      </c>
      <c r="U216" s="2" t="str">
        <f t="shared" si="54"/>
        <v>ACTIVE</v>
      </c>
      <c r="V216" s="2">
        <f t="shared" ca="1" si="44"/>
        <v>712</v>
      </c>
      <c r="W216" s="2">
        <f t="shared" ca="1" si="45"/>
        <v>23</v>
      </c>
      <c r="X216" s="2">
        <f t="shared" ca="1" si="46"/>
        <v>1</v>
      </c>
      <c r="Y216" s="2"/>
      <c r="Z216" s="2"/>
      <c r="AA216" s="2" t="str">
        <f t="shared" ca="1" si="55"/>
        <v>CHECK</v>
      </c>
    </row>
    <row r="217" spans="1:27" x14ac:dyDescent="0.3">
      <c r="A217" s="2" t="s">
        <v>695</v>
      </c>
      <c r="B217" s="2" t="str">
        <f t="shared" si="47"/>
        <v>EMP216</v>
      </c>
      <c r="C217" s="2" t="s">
        <v>96</v>
      </c>
      <c r="D217" s="2" t="str">
        <f t="shared" si="48"/>
        <v>Neha</v>
      </c>
      <c r="E217" s="2" t="s">
        <v>48</v>
      </c>
      <c r="F217" s="2" t="str">
        <f t="shared" si="49"/>
        <v>FINANCE</v>
      </c>
      <c r="G217" s="6" t="s">
        <v>696</v>
      </c>
      <c r="H217" s="8">
        <f t="shared" si="50"/>
        <v>44050</v>
      </c>
      <c r="I217" s="2" t="s">
        <v>697</v>
      </c>
      <c r="J217" s="3">
        <f t="shared" ca="1" si="51"/>
        <v>44547</v>
      </c>
      <c r="K217" s="2">
        <v>9729153822</v>
      </c>
      <c r="L217" s="2">
        <f t="shared" si="52"/>
        <v>9729153822</v>
      </c>
      <c r="M217" s="2" t="s">
        <v>209</v>
      </c>
      <c r="N217" s="2" t="str">
        <f t="shared" si="53"/>
        <v>sunita@gmail.com</v>
      </c>
      <c r="O217" s="12">
        <v>79915</v>
      </c>
      <c r="P217" s="2" t="str">
        <f t="shared" si="42"/>
        <v>60K-80K</v>
      </c>
      <c r="Q217" s="2"/>
      <c r="R217" s="2" t="s">
        <v>698</v>
      </c>
      <c r="S217" s="2" t="str">
        <f t="shared" si="43"/>
        <v>M7</v>
      </c>
      <c r="T217" s="2" t="s">
        <v>31</v>
      </c>
      <c r="U217" s="2" t="str">
        <f t="shared" si="54"/>
        <v>ON HOLD</v>
      </c>
      <c r="V217" s="2">
        <f t="shared" ca="1" si="44"/>
        <v>497</v>
      </c>
      <c r="W217" s="2">
        <f t="shared" ca="1" si="45"/>
        <v>16</v>
      </c>
      <c r="X217" s="2">
        <f t="shared" ca="1" si="46"/>
        <v>1</v>
      </c>
      <c r="Y217" s="2"/>
      <c r="Z217" s="2"/>
      <c r="AA217" s="2" t="str">
        <f t="shared" ca="1" si="55"/>
        <v>OK</v>
      </c>
    </row>
    <row r="218" spans="1:27" x14ac:dyDescent="0.3">
      <c r="A218" s="2" t="s">
        <v>699</v>
      </c>
      <c r="B218" s="2" t="str">
        <f t="shared" si="47"/>
        <v>EMP217</v>
      </c>
      <c r="C218" s="2" t="s">
        <v>115</v>
      </c>
      <c r="D218" s="2" t="str">
        <f t="shared" si="48"/>
        <v>Rahul</v>
      </c>
      <c r="E218" s="2" t="s">
        <v>48</v>
      </c>
      <c r="F218" s="2" t="str">
        <f t="shared" si="49"/>
        <v>FINANCE</v>
      </c>
      <c r="G218" s="6" t="s">
        <v>700</v>
      </c>
      <c r="H218" s="8">
        <f t="shared" si="50"/>
        <v>44743</v>
      </c>
      <c r="I218" s="2"/>
      <c r="J218" s="3">
        <f t="shared" ca="1" si="51"/>
        <v>46024</v>
      </c>
      <c r="K218" s="2">
        <v>9706095652</v>
      </c>
      <c r="L218" s="2">
        <f t="shared" si="52"/>
        <v>9706095652</v>
      </c>
      <c r="M218" s="2" t="s">
        <v>51</v>
      </c>
      <c r="N218" s="2" t="str">
        <f t="shared" si="53"/>
        <v>kiran@company.com</v>
      </c>
      <c r="O218" s="12">
        <v>22806</v>
      </c>
      <c r="P218" s="2" t="str">
        <f t="shared" si="42"/>
        <v>20K-40K</v>
      </c>
      <c r="Q218" s="2"/>
      <c r="R218" s="2" t="s">
        <v>85</v>
      </c>
      <c r="S218" s="2" t="str">
        <f t="shared" si="43"/>
        <v>M24</v>
      </c>
      <c r="T218" s="2" t="s">
        <v>17</v>
      </c>
      <c r="U218" s="2" t="str">
        <f t="shared" si="54"/>
        <v>RESIGNED</v>
      </c>
      <c r="V218" s="2">
        <f t="shared" ca="1" si="44"/>
        <v>1281</v>
      </c>
      <c r="W218" s="2">
        <f t="shared" ca="1" si="45"/>
        <v>42</v>
      </c>
      <c r="X218" s="2">
        <f t="shared" ca="1" si="46"/>
        <v>3</v>
      </c>
      <c r="Y218" s="2"/>
      <c r="Z218" s="2"/>
      <c r="AA218" s="2" t="str">
        <f t="shared" ca="1" si="55"/>
        <v>OK</v>
      </c>
    </row>
    <row r="219" spans="1:27" x14ac:dyDescent="0.3">
      <c r="A219" s="2" t="s">
        <v>701</v>
      </c>
      <c r="B219" s="2" t="str">
        <f t="shared" si="47"/>
        <v>EMP218</v>
      </c>
      <c r="C219" s="2" t="s">
        <v>115</v>
      </c>
      <c r="D219" s="2" t="str">
        <f t="shared" si="48"/>
        <v>Rahul</v>
      </c>
      <c r="E219" s="2" t="s">
        <v>33</v>
      </c>
      <c r="F219" s="2" t="str">
        <f t="shared" si="49"/>
        <v>IT</v>
      </c>
      <c r="G219" s="6" t="s">
        <v>702</v>
      </c>
      <c r="H219" s="8">
        <f t="shared" si="50"/>
        <v>44122</v>
      </c>
      <c r="I219" s="2" t="s">
        <v>703</v>
      </c>
      <c r="J219" s="3">
        <f t="shared" ca="1" si="51"/>
        <v>44497</v>
      </c>
      <c r="K219" s="2">
        <v>9945167466</v>
      </c>
      <c r="L219" s="2">
        <f t="shared" si="52"/>
        <v>9945167466</v>
      </c>
      <c r="M219" s="2" t="s">
        <v>22</v>
      </c>
      <c r="N219" s="2" t="str">
        <f t="shared" si="53"/>
        <v>pooja@company.com</v>
      </c>
      <c r="O219" s="12">
        <v>92570</v>
      </c>
      <c r="P219" s="2" t="str">
        <f t="shared" si="42"/>
        <v>Above 80K</v>
      </c>
      <c r="Q219" s="2"/>
      <c r="R219" s="2" t="s">
        <v>23</v>
      </c>
      <c r="S219" s="2" t="str">
        <f t="shared" si="43"/>
        <v>M8</v>
      </c>
      <c r="T219" s="2" t="s">
        <v>149</v>
      </c>
      <c r="U219" s="2" t="str">
        <f t="shared" si="54"/>
        <v>ACTIVE</v>
      </c>
      <c r="V219" s="2">
        <f t="shared" ca="1" si="44"/>
        <v>375</v>
      </c>
      <c r="W219" s="2">
        <f t="shared" ca="1" si="45"/>
        <v>12</v>
      </c>
      <c r="X219" s="2">
        <f t="shared" ca="1" si="46"/>
        <v>1</v>
      </c>
      <c r="Y219" s="2"/>
      <c r="Z219" s="2"/>
      <c r="AA219" s="2" t="str">
        <f t="shared" ca="1" si="55"/>
        <v>CHECK</v>
      </c>
    </row>
    <row r="220" spans="1:27" x14ac:dyDescent="0.3">
      <c r="A220" s="2" t="s">
        <v>704</v>
      </c>
      <c r="B220" s="2" t="str">
        <f t="shared" si="47"/>
        <v>EMP219</v>
      </c>
      <c r="C220" s="2" t="s">
        <v>115</v>
      </c>
      <c r="D220" s="2" t="str">
        <f t="shared" si="48"/>
        <v>Rahul</v>
      </c>
      <c r="E220" s="2" t="s">
        <v>40</v>
      </c>
      <c r="F220" s="2" t="str">
        <f t="shared" si="49"/>
        <v>SALES</v>
      </c>
      <c r="G220" s="6" t="s">
        <v>705</v>
      </c>
      <c r="H220" s="8">
        <f t="shared" si="50"/>
        <v>44240</v>
      </c>
      <c r="I220" s="2" t="s">
        <v>706</v>
      </c>
      <c r="J220" s="3">
        <f t="shared" ca="1" si="51"/>
        <v>45025</v>
      </c>
      <c r="K220" s="2">
        <v>9903535440</v>
      </c>
      <c r="L220" s="2">
        <f t="shared" si="52"/>
        <v>9903535440</v>
      </c>
      <c r="M220" s="2" t="s">
        <v>22</v>
      </c>
      <c r="N220" s="2" t="str">
        <f t="shared" si="53"/>
        <v>pooja@company.com</v>
      </c>
      <c r="O220" s="12">
        <v>55481</v>
      </c>
      <c r="P220" s="2" t="str">
        <f t="shared" si="42"/>
        <v>40K-60K</v>
      </c>
      <c r="Q220" s="2"/>
      <c r="R220" s="2" t="s">
        <v>108</v>
      </c>
      <c r="S220" s="2" t="str">
        <f t="shared" si="43"/>
        <v>M10</v>
      </c>
      <c r="T220" s="2" t="s">
        <v>31</v>
      </c>
      <c r="U220" s="2" t="str">
        <f t="shared" si="54"/>
        <v>ON HOLD</v>
      </c>
      <c r="V220" s="2">
        <f t="shared" ca="1" si="44"/>
        <v>785</v>
      </c>
      <c r="W220" s="2">
        <f t="shared" ca="1" si="45"/>
        <v>25</v>
      </c>
      <c r="X220" s="2">
        <f t="shared" ca="1" si="46"/>
        <v>2</v>
      </c>
      <c r="Y220" s="2"/>
      <c r="Z220" s="2"/>
      <c r="AA220" s="2" t="str">
        <f t="shared" ca="1" si="55"/>
        <v>OK</v>
      </c>
    </row>
    <row r="221" spans="1:27" x14ac:dyDescent="0.3">
      <c r="A221" s="2" t="s">
        <v>707</v>
      </c>
      <c r="B221" s="2" t="str">
        <f t="shared" si="47"/>
        <v>EMP220</v>
      </c>
      <c r="C221" s="2" t="s">
        <v>39</v>
      </c>
      <c r="D221" s="2" t="str">
        <f t="shared" si="48"/>
        <v>Amit</v>
      </c>
      <c r="E221" s="2" t="s">
        <v>12</v>
      </c>
      <c r="F221" s="2" t="str">
        <f t="shared" si="49"/>
        <v>IT</v>
      </c>
      <c r="G221" s="6" t="s">
        <v>708</v>
      </c>
      <c r="H221" s="8">
        <f t="shared" si="50"/>
        <v>43821</v>
      </c>
      <c r="I221" s="2" t="s">
        <v>709</v>
      </c>
      <c r="J221" s="3">
        <f t="shared" ca="1" si="51"/>
        <v>45274</v>
      </c>
      <c r="K221" s="2">
        <v>9981794832</v>
      </c>
      <c r="L221" s="2">
        <f t="shared" si="52"/>
        <v>9981794832</v>
      </c>
      <c r="M221" s="2" t="s">
        <v>29</v>
      </c>
      <c r="N221" s="2" t="str">
        <f t="shared" si="53"/>
        <v>suresh@company.com</v>
      </c>
      <c r="O221" s="12">
        <v>24288</v>
      </c>
      <c r="P221" s="2" t="str">
        <f t="shared" si="42"/>
        <v>20K-40K</v>
      </c>
      <c r="Q221" s="2"/>
      <c r="R221" s="2" t="s">
        <v>30</v>
      </c>
      <c r="S221" s="2" t="str">
        <f t="shared" si="43"/>
        <v>M3</v>
      </c>
      <c r="T221" s="2" t="s">
        <v>31</v>
      </c>
      <c r="U221" s="2" t="str">
        <f t="shared" si="54"/>
        <v>ON HOLD</v>
      </c>
      <c r="V221" s="2">
        <f t="shared" ca="1" si="44"/>
        <v>1453</v>
      </c>
      <c r="W221" s="2">
        <f t="shared" ca="1" si="45"/>
        <v>47</v>
      </c>
      <c r="X221" s="2">
        <f t="shared" ca="1" si="46"/>
        <v>3</v>
      </c>
      <c r="Y221" s="2"/>
      <c r="Z221" s="2"/>
      <c r="AA221" s="2" t="str">
        <f t="shared" ca="1" si="55"/>
        <v>OK</v>
      </c>
    </row>
    <row r="222" spans="1:27" x14ac:dyDescent="0.3">
      <c r="A222" s="2" t="s">
        <v>710</v>
      </c>
      <c r="B222" s="2" t="str">
        <f t="shared" si="47"/>
        <v>EMP221</v>
      </c>
      <c r="C222" s="2" t="s">
        <v>161</v>
      </c>
      <c r="D222" s="2" t="str">
        <f t="shared" si="48"/>
        <v>Kiran</v>
      </c>
      <c r="E222" s="2" t="s">
        <v>33</v>
      </c>
      <c r="F222" s="2" t="str">
        <f t="shared" si="49"/>
        <v>IT</v>
      </c>
      <c r="G222" s="6" t="s">
        <v>403</v>
      </c>
      <c r="H222" s="8">
        <f t="shared" si="50"/>
        <v>44415</v>
      </c>
      <c r="I222" s="2" t="s">
        <v>711</v>
      </c>
      <c r="J222" s="3">
        <f t="shared" ca="1" si="51"/>
        <v>45090</v>
      </c>
      <c r="K222" s="2">
        <v>9226092989</v>
      </c>
      <c r="L222" s="2">
        <f t="shared" si="52"/>
        <v>9226092989</v>
      </c>
      <c r="M222" s="2" t="s">
        <v>36</v>
      </c>
      <c r="N222" s="2" t="str">
        <f t="shared" si="53"/>
        <v>neha@company.com</v>
      </c>
      <c r="O222" s="12">
        <v>70118</v>
      </c>
      <c r="P222" s="2" t="str">
        <f t="shared" si="42"/>
        <v>60K-80K</v>
      </c>
      <c r="Q222" s="2"/>
      <c r="R222" s="2" t="s">
        <v>85</v>
      </c>
      <c r="S222" s="2" t="str">
        <f t="shared" si="43"/>
        <v>M24</v>
      </c>
      <c r="T222" s="2" t="s">
        <v>17</v>
      </c>
      <c r="U222" s="2" t="str">
        <f t="shared" si="54"/>
        <v>RESIGNED</v>
      </c>
      <c r="V222" s="2">
        <f t="shared" ca="1" si="44"/>
        <v>675</v>
      </c>
      <c r="W222" s="2">
        <f t="shared" ca="1" si="45"/>
        <v>22</v>
      </c>
      <c r="X222" s="2">
        <f t="shared" ca="1" si="46"/>
        <v>1</v>
      </c>
      <c r="Y222" s="2"/>
      <c r="Z222" s="2"/>
      <c r="AA222" s="2" t="str">
        <f t="shared" ca="1" si="55"/>
        <v>OK</v>
      </c>
    </row>
    <row r="223" spans="1:27" x14ac:dyDescent="0.3">
      <c r="A223" s="2" t="s">
        <v>712</v>
      </c>
      <c r="B223" s="2" t="str">
        <f t="shared" si="47"/>
        <v>EMP222</v>
      </c>
      <c r="C223" s="2" t="s">
        <v>115</v>
      </c>
      <c r="D223" s="2" t="str">
        <f t="shared" si="48"/>
        <v>Rahul</v>
      </c>
      <c r="E223" s="2" t="s">
        <v>33</v>
      </c>
      <c r="F223" s="2" t="str">
        <f t="shared" si="49"/>
        <v>IT</v>
      </c>
      <c r="G223" s="6" t="s">
        <v>713</v>
      </c>
      <c r="H223" s="8">
        <f t="shared" si="50"/>
        <v>44403</v>
      </c>
      <c r="I223" s="2" t="s">
        <v>714</v>
      </c>
      <c r="J223" s="3">
        <f t="shared" ca="1" si="51"/>
        <v>45742</v>
      </c>
      <c r="K223" s="2">
        <v>9198283491</v>
      </c>
      <c r="L223" s="2">
        <f t="shared" si="52"/>
        <v>9198283491</v>
      </c>
      <c r="M223" s="2" t="s">
        <v>36</v>
      </c>
      <c r="N223" s="2" t="str">
        <f t="shared" si="53"/>
        <v>neha@company.com</v>
      </c>
      <c r="O223" s="12">
        <v>79530</v>
      </c>
      <c r="P223" s="2" t="str">
        <f t="shared" si="42"/>
        <v>60K-80K</v>
      </c>
      <c r="Q223" s="2"/>
      <c r="R223" s="2" t="s">
        <v>235</v>
      </c>
      <c r="S223" s="2" t="str">
        <f t="shared" si="43"/>
        <v>M25</v>
      </c>
      <c r="T223" s="2" t="s">
        <v>37</v>
      </c>
      <c r="U223" s="2" t="str">
        <f t="shared" si="54"/>
        <v>ACTIVE</v>
      </c>
      <c r="V223" s="2">
        <f t="shared" ca="1" si="44"/>
        <v>1339</v>
      </c>
      <c r="W223" s="2">
        <f t="shared" ca="1" si="45"/>
        <v>44</v>
      </c>
      <c r="X223" s="2">
        <f t="shared" ca="1" si="46"/>
        <v>3</v>
      </c>
      <c r="Y223" s="2"/>
      <c r="Z223" s="2"/>
      <c r="AA223" s="2" t="str">
        <f t="shared" ca="1" si="55"/>
        <v>OK</v>
      </c>
    </row>
    <row r="224" spans="1:27" x14ac:dyDescent="0.3">
      <c r="A224" s="2" t="s">
        <v>715</v>
      </c>
      <c r="B224" s="2" t="str">
        <f t="shared" si="47"/>
        <v>EMP223</v>
      </c>
      <c r="C224" s="2" t="s">
        <v>104</v>
      </c>
      <c r="D224" s="2" t="str">
        <f t="shared" si="48"/>
        <v>Vikas</v>
      </c>
      <c r="E224" s="2" t="s">
        <v>12</v>
      </c>
      <c r="F224" s="2" t="str">
        <f t="shared" si="49"/>
        <v>IT</v>
      </c>
      <c r="G224" s="6" t="s">
        <v>545</v>
      </c>
      <c r="H224" s="8">
        <f t="shared" si="50"/>
        <v>44793</v>
      </c>
      <c r="I224" s="2" t="s">
        <v>716</v>
      </c>
      <c r="J224" s="3">
        <f t="shared" ca="1" si="51"/>
        <v>45374</v>
      </c>
      <c r="K224" s="2">
        <v>9865491174</v>
      </c>
      <c r="L224" s="2">
        <f t="shared" si="52"/>
        <v>9865491174</v>
      </c>
      <c r="M224" s="2" t="s">
        <v>43</v>
      </c>
      <c r="N224" s="2" t="str">
        <f t="shared" si="53"/>
        <v>ravi@company.com</v>
      </c>
      <c r="O224" s="12">
        <v>29607</v>
      </c>
      <c r="P224" s="2" t="str">
        <f t="shared" si="42"/>
        <v>20K-40K</v>
      </c>
      <c r="Q224" s="2"/>
      <c r="R224" s="2" t="s">
        <v>156</v>
      </c>
      <c r="S224" s="2" t="str">
        <f t="shared" si="43"/>
        <v>M6</v>
      </c>
      <c r="T224" s="2" t="s">
        <v>31</v>
      </c>
      <c r="U224" s="2" t="str">
        <f t="shared" si="54"/>
        <v>ON HOLD</v>
      </c>
      <c r="V224" s="2">
        <f t="shared" ca="1" si="44"/>
        <v>581</v>
      </c>
      <c r="W224" s="2">
        <f t="shared" ca="1" si="45"/>
        <v>19</v>
      </c>
      <c r="X224" s="2">
        <f t="shared" ca="1" si="46"/>
        <v>1</v>
      </c>
      <c r="Y224" s="2"/>
      <c r="Z224" s="2"/>
      <c r="AA224" s="2" t="str">
        <f t="shared" ca="1" si="55"/>
        <v>OK</v>
      </c>
    </row>
    <row r="225" spans="1:27" x14ac:dyDescent="0.3">
      <c r="A225" s="2" t="s">
        <v>717</v>
      </c>
      <c r="B225" s="2" t="str">
        <f t="shared" si="47"/>
        <v>EMP224</v>
      </c>
      <c r="C225" s="2" t="s">
        <v>11</v>
      </c>
      <c r="D225" s="2" t="str">
        <f t="shared" si="48"/>
        <v>Ravi</v>
      </c>
      <c r="E225" s="2" t="s">
        <v>33</v>
      </c>
      <c r="F225" s="2" t="str">
        <f t="shared" si="49"/>
        <v>IT</v>
      </c>
      <c r="G225" s="6" t="s">
        <v>718</v>
      </c>
      <c r="H225" s="8">
        <f t="shared" si="50"/>
        <v>44684</v>
      </c>
      <c r="I225" s="2"/>
      <c r="J225" s="3">
        <f t="shared" ca="1" si="51"/>
        <v>46024</v>
      </c>
      <c r="K225" s="2">
        <v>9439336245</v>
      </c>
      <c r="L225" s="2">
        <f t="shared" si="52"/>
        <v>9439336245</v>
      </c>
      <c r="M225" s="2" t="s">
        <v>283</v>
      </c>
      <c r="N225" s="2" t="str">
        <f t="shared" si="53"/>
        <v>ravi@gmail.com</v>
      </c>
      <c r="O225" s="12">
        <v>44032</v>
      </c>
      <c r="P225" s="2" t="str">
        <f t="shared" si="42"/>
        <v>40K-60K</v>
      </c>
      <c r="Q225" s="2"/>
      <c r="R225" s="2" t="s">
        <v>122</v>
      </c>
      <c r="S225" s="2" t="str">
        <f t="shared" si="43"/>
        <v>M5</v>
      </c>
      <c r="T225" s="2" t="s">
        <v>17</v>
      </c>
      <c r="U225" s="2" t="str">
        <f t="shared" si="54"/>
        <v>RESIGNED</v>
      </c>
      <c r="V225" s="2">
        <f t="shared" ca="1" si="44"/>
        <v>1340</v>
      </c>
      <c r="W225" s="2">
        <f t="shared" ca="1" si="45"/>
        <v>43</v>
      </c>
      <c r="X225" s="2">
        <f t="shared" ca="1" si="46"/>
        <v>3</v>
      </c>
      <c r="Y225" s="2"/>
      <c r="Z225" s="2"/>
      <c r="AA225" s="2" t="str">
        <f t="shared" ca="1" si="55"/>
        <v>OK</v>
      </c>
    </row>
    <row r="226" spans="1:27" x14ac:dyDescent="0.3">
      <c r="A226" s="2" t="s">
        <v>719</v>
      </c>
      <c r="B226" s="2" t="str">
        <f t="shared" si="47"/>
        <v>EMP225</v>
      </c>
      <c r="C226" s="2" t="s">
        <v>104</v>
      </c>
      <c r="D226" s="2" t="str">
        <f t="shared" si="48"/>
        <v>Vikas</v>
      </c>
      <c r="E226" s="2" t="s">
        <v>129</v>
      </c>
      <c r="F226" s="2" t="str">
        <f t="shared" si="49"/>
        <v>SALES</v>
      </c>
      <c r="G226" s="6" t="s">
        <v>720</v>
      </c>
      <c r="H226" s="8">
        <f t="shared" si="50"/>
        <v>44639</v>
      </c>
      <c r="I226" s="2" t="s">
        <v>721</v>
      </c>
      <c r="J226" s="3">
        <f t="shared" ca="1" si="51"/>
        <v>45863</v>
      </c>
      <c r="K226" s="2">
        <v>9797845173</v>
      </c>
      <c r="L226" s="2">
        <f t="shared" si="52"/>
        <v>9797845173</v>
      </c>
      <c r="M226" s="2" t="s">
        <v>15</v>
      </c>
      <c r="N226" s="2" t="str">
        <f t="shared" si="53"/>
        <v>amit@company.com</v>
      </c>
      <c r="O226" s="12">
        <v>87809</v>
      </c>
      <c r="P226" s="2" t="str">
        <f t="shared" si="42"/>
        <v>Above 80K</v>
      </c>
      <c r="Q226" s="2"/>
      <c r="R226" s="2" t="s">
        <v>698</v>
      </c>
      <c r="S226" s="2" t="str">
        <f t="shared" si="43"/>
        <v>M7</v>
      </c>
      <c r="T226" s="2" t="s">
        <v>31</v>
      </c>
      <c r="U226" s="2" t="str">
        <f t="shared" si="54"/>
        <v>ON HOLD</v>
      </c>
      <c r="V226" s="2">
        <f t="shared" ca="1" si="44"/>
        <v>1224</v>
      </c>
      <c r="W226" s="2">
        <f t="shared" ca="1" si="45"/>
        <v>40</v>
      </c>
      <c r="X226" s="2">
        <f t="shared" ca="1" si="46"/>
        <v>3</v>
      </c>
      <c r="Y226" s="2"/>
      <c r="Z226" s="2"/>
      <c r="AA226" s="2" t="str">
        <f t="shared" ca="1" si="55"/>
        <v>OK</v>
      </c>
    </row>
    <row r="227" spans="1:27" x14ac:dyDescent="0.3">
      <c r="A227" s="2" t="s">
        <v>722</v>
      </c>
      <c r="B227" s="2" t="str">
        <f t="shared" si="47"/>
        <v>EMP226</v>
      </c>
      <c r="C227" s="2" t="s">
        <v>115</v>
      </c>
      <c r="D227" s="2" t="str">
        <f t="shared" si="48"/>
        <v>Rahul</v>
      </c>
      <c r="E227" s="2" t="s">
        <v>40</v>
      </c>
      <c r="F227" s="2" t="str">
        <f t="shared" si="49"/>
        <v>SALES</v>
      </c>
      <c r="G227" s="6" t="s">
        <v>723</v>
      </c>
      <c r="H227" s="8">
        <f t="shared" si="50"/>
        <v>44375</v>
      </c>
      <c r="I227" s="2" t="s">
        <v>724</v>
      </c>
      <c r="J227" s="3">
        <f t="shared" ca="1" si="51"/>
        <v>45145</v>
      </c>
      <c r="K227" s="2">
        <v>9376123788</v>
      </c>
      <c r="L227" s="2">
        <f t="shared" si="52"/>
        <v>9376123788</v>
      </c>
      <c r="M227" s="2" t="s">
        <v>70</v>
      </c>
      <c r="N227" s="2" t="str">
        <f t="shared" si="53"/>
        <v>sunita@company.com</v>
      </c>
      <c r="O227" s="12">
        <v>90697</v>
      </c>
      <c r="P227" s="2" t="str">
        <f t="shared" si="42"/>
        <v>Above 80K</v>
      </c>
      <c r="Q227" s="2"/>
      <c r="R227" s="2" t="s">
        <v>358</v>
      </c>
      <c r="S227" s="2" t="str">
        <f t="shared" si="43"/>
        <v>M1</v>
      </c>
      <c r="T227" s="2" t="s">
        <v>37</v>
      </c>
      <c r="U227" s="2" t="str">
        <f t="shared" si="54"/>
        <v>ACTIVE</v>
      </c>
      <c r="V227" s="2">
        <f t="shared" ca="1" si="44"/>
        <v>770</v>
      </c>
      <c r="W227" s="2">
        <f t="shared" ca="1" si="45"/>
        <v>25</v>
      </c>
      <c r="X227" s="2">
        <f t="shared" ca="1" si="46"/>
        <v>2</v>
      </c>
      <c r="Y227" s="2"/>
      <c r="Z227" s="2"/>
      <c r="AA227" s="2" t="str">
        <f t="shared" ca="1" si="55"/>
        <v>OK</v>
      </c>
    </row>
    <row r="228" spans="1:27" x14ac:dyDescent="0.3">
      <c r="A228" s="2" t="s">
        <v>725</v>
      </c>
      <c r="B228" s="2" t="str">
        <f t="shared" si="47"/>
        <v>EMP227</v>
      </c>
      <c r="C228" s="2" t="s">
        <v>81</v>
      </c>
      <c r="D228" s="2" t="str">
        <f t="shared" si="48"/>
        <v>Suresh</v>
      </c>
      <c r="E228" s="2" t="s">
        <v>33</v>
      </c>
      <c r="F228" s="2" t="str">
        <f t="shared" si="49"/>
        <v>IT</v>
      </c>
      <c r="G228" s="6" t="s">
        <v>726</v>
      </c>
      <c r="H228" s="8">
        <f t="shared" si="50"/>
        <v>44556</v>
      </c>
      <c r="I228" s="2" t="s">
        <v>727</v>
      </c>
      <c r="J228" s="3">
        <f t="shared" ca="1" si="51"/>
        <v>45595</v>
      </c>
      <c r="K228" s="2">
        <v>9598329881</v>
      </c>
      <c r="L228" s="2">
        <f t="shared" si="52"/>
        <v>9598329881</v>
      </c>
      <c r="M228" s="2" t="s">
        <v>84</v>
      </c>
      <c r="N228" s="2" t="str">
        <f t="shared" si="53"/>
        <v>ankit@company.com</v>
      </c>
      <c r="O228" s="12">
        <v>13825</v>
      </c>
      <c r="P228" s="2" t="str">
        <f t="shared" si="42"/>
        <v>Below 20K</v>
      </c>
      <c r="Q228" s="2"/>
      <c r="R228" s="2" t="s">
        <v>135</v>
      </c>
      <c r="S228" s="2" t="str">
        <f t="shared" si="43"/>
        <v>M15</v>
      </c>
      <c r="T228" s="2" t="s">
        <v>37</v>
      </c>
      <c r="U228" s="2" t="str">
        <f t="shared" si="54"/>
        <v>ACTIVE</v>
      </c>
      <c r="V228" s="2">
        <f t="shared" ca="1" si="44"/>
        <v>1039</v>
      </c>
      <c r="W228" s="2">
        <f t="shared" ca="1" si="45"/>
        <v>34</v>
      </c>
      <c r="X228" s="2">
        <f t="shared" ca="1" si="46"/>
        <v>2</v>
      </c>
      <c r="Y228" s="2"/>
      <c r="Z228" s="2"/>
      <c r="AA228" s="2" t="str">
        <f t="shared" ca="1" si="55"/>
        <v>OK</v>
      </c>
    </row>
    <row r="229" spans="1:27" x14ac:dyDescent="0.3">
      <c r="A229" s="2" t="s">
        <v>728</v>
      </c>
      <c r="B229" s="2" t="str">
        <f t="shared" si="47"/>
        <v>EMP228</v>
      </c>
      <c r="C229" s="2" t="s">
        <v>11</v>
      </c>
      <c r="D229" s="2" t="str">
        <f t="shared" si="48"/>
        <v>Ravi</v>
      </c>
      <c r="E229" s="2" t="s">
        <v>57</v>
      </c>
      <c r="F229" s="2" t="str">
        <f t="shared" si="49"/>
        <v>HR</v>
      </c>
      <c r="G229" s="6" t="s">
        <v>729</v>
      </c>
      <c r="H229" s="8">
        <f t="shared" si="50"/>
        <v>43860</v>
      </c>
      <c r="I229" s="2" t="s">
        <v>730</v>
      </c>
      <c r="J229" s="3">
        <f t="shared" ca="1" si="51"/>
        <v>44293</v>
      </c>
      <c r="K229" s="2">
        <v>9227030026</v>
      </c>
      <c r="L229" s="2">
        <f t="shared" si="52"/>
        <v>9227030026</v>
      </c>
      <c r="M229" s="2" t="s">
        <v>22</v>
      </c>
      <c r="N229" s="2" t="str">
        <f t="shared" si="53"/>
        <v>pooja@company.com</v>
      </c>
      <c r="O229" s="12">
        <v>69932</v>
      </c>
      <c r="P229" s="2" t="str">
        <f t="shared" si="42"/>
        <v>60K-80K</v>
      </c>
      <c r="Q229" s="2"/>
      <c r="R229" s="2" t="s">
        <v>44</v>
      </c>
      <c r="S229" s="2" t="str">
        <f t="shared" si="43"/>
        <v>M9</v>
      </c>
      <c r="T229" s="2" t="s">
        <v>37</v>
      </c>
      <c r="U229" s="2" t="str">
        <f t="shared" si="54"/>
        <v>ACTIVE</v>
      </c>
      <c r="V229" s="2">
        <f t="shared" ca="1" si="44"/>
        <v>433</v>
      </c>
      <c r="W229" s="2">
        <f t="shared" ca="1" si="45"/>
        <v>14</v>
      </c>
      <c r="X229" s="2">
        <f t="shared" ca="1" si="46"/>
        <v>1</v>
      </c>
      <c r="Y229" s="2"/>
      <c r="Z229" s="2"/>
      <c r="AA229" s="2" t="str">
        <f t="shared" ca="1" si="55"/>
        <v>OK</v>
      </c>
    </row>
    <row r="230" spans="1:27" x14ac:dyDescent="0.3">
      <c r="A230" s="2" t="s">
        <v>731</v>
      </c>
      <c r="B230" s="2" t="str">
        <f t="shared" si="47"/>
        <v>EMP229</v>
      </c>
      <c r="C230" s="2" t="s">
        <v>39</v>
      </c>
      <c r="D230" s="2" t="str">
        <f t="shared" si="48"/>
        <v>Amit</v>
      </c>
      <c r="E230" s="2" t="s">
        <v>33</v>
      </c>
      <c r="F230" s="2" t="str">
        <f t="shared" si="49"/>
        <v>IT</v>
      </c>
      <c r="G230" s="6" t="s">
        <v>732</v>
      </c>
      <c r="H230" s="8">
        <f t="shared" si="50"/>
        <v>43588</v>
      </c>
      <c r="I230" s="2" t="s">
        <v>733</v>
      </c>
      <c r="J230" s="3">
        <f t="shared" ca="1" si="51"/>
        <v>44940</v>
      </c>
      <c r="K230" s="2">
        <v>9589917534</v>
      </c>
      <c r="L230" s="2">
        <f t="shared" si="52"/>
        <v>9589917534</v>
      </c>
      <c r="M230" s="2" t="s">
        <v>107</v>
      </c>
      <c r="N230" s="2" t="str">
        <f t="shared" si="53"/>
        <v>vikas@company.com</v>
      </c>
      <c r="O230" s="12">
        <v>27922</v>
      </c>
      <c r="P230" s="2" t="str">
        <f t="shared" si="42"/>
        <v>20K-40K</v>
      </c>
      <c r="Q230" s="2"/>
      <c r="R230" s="2" t="s">
        <v>30</v>
      </c>
      <c r="S230" s="2" t="str">
        <f t="shared" si="43"/>
        <v>M3</v>
      </c>
      <c r="T230" s="2" t="s">
        <v>37</v>
      </c>
      <c r="U230" s="2" t="str">
        <f t="shared" si="54"/>
        <v>ACTIVE</v>
      </c>
      <c r="V230" s="2">
        <f t="shared" ca="1" si="44"/>
        <v>1352</v>
      </c>
      <c r="W230" s="2">
        <f t="shared" ca="1" si="45"/>
        <v>44</v>
      </c>
      <c r="X230" s="2">
        <f t="shared" ca="1" si="46"/>
        <v>3</v>
      </c>
      <c r="Y230" s="2"/>
      <c r="Z230" s="2"/>
      <c r="AA230" s="2" t="str">
        <f t="shared" ca="1" si="55"/>
        <v>OK</v>
      </c>
    </row>
    <row r="231" spans="1:27" x14ac:dyDescent="0.3">
      <c r="A231" s="2" t="s">
        <v>734</v>
      </c>
      <c r="B231" s="2" t="str">
        <f t="shared" si="47"/>
        <v>EMP230</v>
      </c>
      <c r="C231" s="2" t="s">
        <v>63</v>
      </c>
      <c r="D231" s="2" t="str">
        <f t="shared" si="48"/>
        <v>Pooja</v>
      </c>
      <c r="E231" s="2" t="s">
        <v>26</v>
      </c>
      <c r="F231" s="2" t="str">
        <f t="shared" si="49"/>
        <v>HR</v>
      </c>
      <c r="G231" s="6" t="s">
        <v>735</v>
      </c>
      <c r="H231" s="8">
        <f t="shared" si="50"/>
        <v>44359</v>
      </c>
      <c r="I231" s="2" t="s">
        <v>736</v>
      </c>
      <c r="J231" s="3">
        <f t="shared" ca="1" si="51"/>
        <v>45012</v>
      </c>
      <c r="K231" s="2">
        <v>9165150691</v>
      </c>
      <c r="L231" s="2">
        <f t="shared" si="52"/>
        <v>9165150691</v>
      </c>
      <c r="M231" s="2" t="s">
        <v>22</v>
      </c>
      <c r="N231" s="2" t="str">
        <f t="shared" si="53"/>
        <v>pooja@company.com</v>
      </c>
      <c r="O231" s="12">
        <v>76040</v>
      </c>
      <c r="P231" s="2" t="str">
        <f t="shared" si="42"/>
        <v>60K-80K</v>
      </c>
      <c r="Q231" s="2"/>
      <c r="R231" s="2" t="s">
        <v>142</v>
      </c>
      <c r="S231" s="2" t="str">
        <f t="shared" si="43"/>
        <v>M23</v>
      </c>
      <c r="T231" s="2" t="s">
        <v>45</v>
      </c>
      <c r="U231" s="2" t="str">
        <f t="shared" si="54"/>
        <v>RESIGNED</v>
      </c>
      <c r="V231" s="2">
        <f t="shared" ca="1" si="44"/>
        <v>653</v>
      </c>
      <c r="W231" s="2">
        <f t="shared" ca="1" si="45"/>
        <v>21</v>
      </c>
      <c r="X231" s="2">
        <f t="shared" ca="1" si="46"/>
        <v>1</v>
      </c>
      <c r="Y231" s="2"/>
      <c r="Z231" s="2"/>
      <c r="AA231" s="2" t="str">
        <f t="shared" ca="1" si="55"/>
        <v>OK</v>
      </c>
    </row>
    <row r="232" spans="1:27" x14ac:dyDescent="0.3">
      <c r="A232" s="2" t="s">
        <v>737</v>
      </c>
      <c r="B232" s="2" t="str">
        <f t="shared" si="47"/>
        <v>EMP231</v>
      </c>
      <c r="C232" s="2" t="s">
        <v>63</v>
      </c>
      <c r="D232" s="2" t="str">
        <f t="shared" si="48"/>
        <v>Pooja</v>
      </c>
      <c r="E232" s="2" t="s">
        <v>129</v>
      </c>
      <c r="F232" s="2" t="str">
        <f t="shared" si="49"/>
        <v>SALES</v>
      </c>
      <c r="G232" s="6" t="s">
        <v>738</v>
      </c>
      <c r="H232" s="8">
        <f t="shared" si="50"/>
        <v>44818</v>
      </c>
      <c r="I232" s="2"/>
      <c r="J232" s="3">
        <f t="shared" ca="1" si="51"/>
        <v>46024</v>
      </c>
      <c r="K232" s="2">
        <v>9719811303</v>
      </c>
      <c r="L232" s="2">
        <f t="shared" si="52"/>
        <v>9719811303</v>
      </c>
      <c r="M232" s="2" t="s">
        <v>29</v>
      </c>
      <c r="N232" s="2" t="str">
        <f t="shared" si="53"/>
        <v>suresh@company.com</v>
      </c>
      <c r="O232" s="12">
        <v>60791</v>
      </c>
      <c r="P232" s="2" t="str">
        <f t="shared" si="42"/>
        <v>60K-80K</v>
      </c>
      <c r="Q232" s="2"/>
      <c r="R232" s="2" t="s">
        <v>23</v>
      </c>
      <c r="S232" s="2" t="str">
        <f t="shared" si="43"/>
        <v>M8</v>
      </c>
      <c r="T232" s="2" t="s">
        <v>37</v>
      </c>
      <c r="U232" s="2" t="str">
        <f t="shared" si="54"/>
        <v>ACTIVE</v>
      </c>
      <c r="V232" s="2">
        <f t="shared" ca="1" si="44"/>
        <v>1206</v>
      </c>
      <c r="W232" s="2">
        <f t="shared" ca="1" si="45"/>
        <v>39</v>
      </c>
      <c r="X232" s="2">
        <f t="shared" ca="1" si="46"/>
        <v>3</v>
      </c>
      <c r="Y232" s="2"/>
      <c r="Z232" s="2"/>
      <c r="AA232" s="2" t="str">
        <f t="shared" ca="1" si="55"/>
        <v>OK</v>
      </c>
    </row>
    <row r="233" spans="1:27" x14ac:dyDescent="0.3">
      <c r="A233" s="2" t="s">
        <v>739</v>
      </c>
      <c r="B233" s="2" t="str">
        <f t="shared" si="47"/>
        <v>EMP232</v>
      </c>
      <c r="C233" s="2" t="s">
        <v>161</v>
      </c>
      <c r="D233" s="2" t="str">
        <f t="shared" si="48"/>
        <v>Kiran</v>
      </c>
      <c r="E233" s="2" t="s">
        <v>48</v>
      </c>
      <c r="F233" s="2" t="str">
        <f t="shared" si="49"/>
        <v>FINANCE</v>
      </c>
      <c r="G233" s="6" t="s">
        <v>740</v>
      </c>
      <c r="H233" s="8">
        <f t="shared" si="50"/>
        <v>44199</v>
      </c>
      <c r="I233" s="2" t="s">
        <v>741</v>
      </c>
      <c r="J233" s="3">
        <f t="shared" ca="1" si="51"/>
        <v>44788</v>
      </c>
      <c r="K233" s="2">
        <v>9269518242</v>
      </c>
      <c r="L233" s="2">
        <f t="shared" si="52"/>
        <v>9269518242</v>
      </c>
      <c r="M233" s="2" t="s">
        <v>209</v>
      </c>
      <c r="N233" s="2" t="str">
        <f t="shared" si="53"/>
        <v>sunita@gmail.com</v>
      </c>
      <c r="O233" s="12">
        <v>62103</v>
      </c>
      <c r="P233" s="2" t="str">
        <f t="shared" si="42"/>
        <v>60K-80K</v>
      </c>
      <c r="Q233" s="2"/>
      <c r="R233" s="2" t="s">
        <v>85</v>
      </c>
      <c r="S233" s="2" t="str">
        <f t="shared" si="43"/>
        <v>M24</v>
      </c>
      <c r="T233" s="2" t="s">
        <v>31</v>
      </c>
      <c r="U233" s="2" t="str">
        <f t="shared" si="54"/>
        <v>ON HOLD</v>
      </c>
      <c r="V233" s="2">
        <f t="shared" ca="1" si="44"/>
        <v>589</v>
      </c>
      <c r="W233" s="2">
        <f t="shared" ca="1" si="45"/>
        <v>19</v>
      </c>
      <c r="X233" s="2">
        <f t="shared" ca="1" si="46"/>
        <v>1</v>
      </c>
      <c r="Y233" s="2"/>
      <c r="Z233" s="2"/>
      <c r="AA233" s="2" t="str">
        <f t="shared" ca="1" si="55"/>
        <v>OK</v>
      </c>
    </row>
    <row r="234" spans="1:27" x14ac:dyDescent="0.3">
      <c r="A234" s="2" t="s">
        <v>742</v>
      </c>
      <c r="B234" s="2" t="str">
        <f t="shared" si="47"/>
        <v>EMP233</v>
      </c>
      <c r="C234" s="2" t="s">
        <v>115</v>
      </c>
      <c r="D234" s="2" t="str">
        <f t="shared" si="48"/>
        <v>Rahul</v>
      </c>
      <c r="E234" s="2" t="s">
        <v>26</v>
      </c>
      <c r="F234" s="2" t="str">
        <f t="shared" si="49"/>
        <v>HR</v>
      </c>
      <c r="G234" s="6" t="s">
        <v>743</v>
      </c>
      <c r="H234" s="8">
        <f t="shared" si="50"/>
        <v>45043</v>
      </c>
      <c r="I234" s="2" t="s">
        <v>744</v>
      </c>
      <c r="J234" s="3">
        <f t="shared" ca="1" si="51"/>
        <v>45148</v>
      </c>
      <c r="K234" s="2">
        <v>9262628460</v>
      </c>
      <c r="L234" s="2">
        <f t="shared" si="52"/>
        <v>9262628460</v>
      </c>
      <c r="M234" s="2" t="s">
        <v>51</v>
      </c>
      <c r="N234" s="2" t="str">
        <f t="shared" si="53"/>
        <v>kiran@company.com</v>
      </c>
      <c r="O234" s="12">
        <v>71437</v>
      </c>
      <c r="P234" s="2" t="str">
        <f t="shared" si="42"/>
        <v>60K-80K</v>
      </c>
      <c r="Q234" s="2"/>
      <c r="R234" s="2" t="s">
        <v>135</v>
      </c>
      <c r="S234" s="2" t="str">
        <f t="shared" si="43"/>
        <v>M15</v>
      </c>
      <c r="T234" s="2" t="s">
        <v>45</v>
      </c>
      <c r="U234" s="2" t="str">
        <f t="shared" si="54"/>
        <v>RESIGNED</v>
      </c>
      <c r="V234" s="2">
        <f t="shared" ca="1" si="44"/>
        <v>105</v>
      </c>
      <c r="W234" s="2">
        <f t="shared" ca="1" si="45"/>
        <v>3</v>
      </c>
      <c r="X234" s="2">
        <f t="shared" ca="1" si="46"/>
        <v>0</v>
      </c>
      <c r="Y234" s="2"/>
      <c r="Z234" s="2"/>
      <c r="AA234" s="2" t="str">
        <f t="shared" ca="1" si="55"/>
        <v>OK</v>
      </c>
    </row>
    <row r="235" spans="1:27" x14ac:dyDescent="0.3">
      <c r="A235" s="2" t="s">
        <v>745</v>
      </c>
      <c r="B235" s="2" t="str">
        <f t="shared" si="47"/>
        <v>EMP234</v>
      </c>
      <c r="C235" s="2" t="s">
        <v>161</v>
      </c>
      <c r="D235" s="2" t="str">
        <f t="shared" si="48"/>
        <v>Kiran</v>
      </c>
      <c r="E235" s="2" t="s">
        <v>129</v>
      </c>
      <c r="F235" s="2" t="str">
        <f t="shared" si="49"/>
        <v>SALES</v>
      </c>
      <c r="G235" s="6" t="s">
        <v>746</v>
      </c>
      <c r="H235" s="8">
        <f t="shared" si="50"/>
        <v>45014</v>
      </c>
      <c r="I235" s="2" t="s">
        <v>93</v>
      </c>
      <c r="J235" s="3">
        <f t="shared" ca="1" si="51"/>
        <v>45487</v>
      </c>
      <c r="K235" s="2">
        <v>9919428717</v>
      </c>
      <c r="L235" s="2">
        <f t="shared" si="52"/>
        <v>9919428717</v>
      </c>
      <c r="M235" s="2" t="s">
        <v>15</v>
      </c>
      <c r="N235" s="2" t="str">
        <f t="shared" si="53"/>
        <v>amit@company.com</v>
      </c>
      <c r="O235" s="12">
        <v>35824</v>
      </c>
      <c r="P235" s="2" t="str">
        <f t="shared" si="42"/>
        <v>20K-40K</v>
      </c>
      <c r="Q235" s="2"/>
      <c r="R235" s="2" t="s">
        <v>747</v>
      </c>
      <c r="S235" s="2" t="str">
        <f t="shared" si="43"/>
        <v>M1</v>
      </c>
      <c r="T235" s="2" t="s">
        <v>45</v>
      </c>
      <c r="U235" s="2" t="str">
        <f t="shared" si="54"/>
        <v>RESIGNED</v>
      </c>
      <c r="V235" s="2">
        <f t="shared" ca="1" si="44"/>
        <v>473</v>
      </c>
      <c r="W235" s="2">
        <f t="shared" ca="1" si="45"/>
        <v>15</v>
      </c>
      <c r="X235" s="2">
        <f t="shared" ca="1" si="46"/>
        <v>1</v>
      </c>
      <c r="Y235" s="2"/>
      <c r="Z235" s="2"/>
      <c r="AA235" s="2" t="str">
        <f t="shared" ca="1" si="55"/>
        <v>OK</v>
      </c>
    </row>
    <row r="236" spans="1:27" x14ac:dyDescent="0.3">
      <c r="A236" s="2" t="s">
        <v>748</v>
      </c>
      <c r="B236" s="2" t="str">
        <f t="shared" si="47"/>
        <v>EMP235</v>
      </c>
      <c r="C236" s="2" t="s">
        <v>161</v>
      </c>
      <c r="D236" s="2" t="str">
        <f t="shared" si="48"/>
        <v>Kiran</v>
      </c>
      <c r="E236" s="2" t="s">
        <v>33</v>
      </c>
      <c r="F236" s="2" t="str">
        <f t="shared" si="49"/>
        <v>IT</v>
      </c>
      <c r="G236" s="6" t="s">
        <v>749</v>
      </c>
      <c r="H236" s="8">
        <f t="shared" si="50"/>
        <v>43863</v>
      </c>
      <c r="I236" s="2" t="s">
        <v>750</v>
      </c>
      <c r="J236" s="3">
        <f t="shared" ca="1" si="51"/>
        <v>44217</v>
      </c>
      <c r="K236" s="2">
        <v>9575850438</v>
      </c>
      <c r="L236" s="2">
        <f t="shared" si="52"/>
        <v>9575850438</v>
      </c>
      <c r="M236" s="2" t="s">
        <v>70</v>
      </c>
      <c r="N236" s="2" t="str">
        <f t="shared" si="53"/>
        <v>sunita@company.com</v>
      </c>
      <c r="O236" s="12">
        <v>69067</v>
      </c>
      <c r="P236" s="2" t="str">
        <f t="shared" si="42"/>
        <v>60K-80K</v>
      </c>
      <c r="Q236" s="2"/>
      <c r="R236" s="2" t="s">
        <v>44</v>
      </c>
      <c r="S236" s="2" t="str">
        <f t="shared" si="43"/>
        <v>M9</v>
      </c>
      <c r="T236" s="2" t="s">
        <v>37</v>
      </c>
      <c r="U236" s="2" t="str">
        <f t="shared" si="54"/>
        <v>ACTIVE</v>
      </c>
      <c r="V236" s="2">
        <f t="shared" ca="1" si="44"/>
        <v>354</v>
      </c>
      <c r="W236" s="2">
        <f t="shared" ca="1" si="45"/>
        <v>11</v>
      </c>
      <c r="X236" s="2">
        <f t="shared" ca="1" si="46"/>
        <v>0</v>
      </c>
      <c r="Y236" s="2"/>
      <c r="Z236" s="2"/>
      <c r="AA236" s="2" t="str">
        <f t="shared" ca="1" si="55"/>
        <v>OK</v>
      </c>
    </row>
    <row r="237" spans="1:27" x14ac:dyDescent="0.3">
      <c r="A237" s="2" t="s">
        <v>751</v>
      </c>
      <c r="B237" s="2" t="str">
        <f t="shared" si="47"/>
        <v>EMP236</v>
      </c>
      <c r="C237" s="2" t="s">
        <v>96</v>
      </c>
      <c r="D237" s="2" t="str">
        <f t="shared" si="48"/>
        <v>Neha</v>
      </c>
      <c r="E237" s="2" t="s">
        <v>33</v>
      </c>
      <c r="F237" s="2" t="str">
        <f t="shared" si="49"/>
        <v>IT</v>
      </c>
      <c r="G237" s="6" t="s">
        <v>752</v>
      </c>
      <c r="H237" s="8">
        <f t="shared" si="50"/>
        <v>43477</v>
      </c>
      <c r="I237" s="2" t="s">
        <v>753</v>
      </c>
      <c r="J237" s="3">
        <f t="shared" ca="1" si="51"/>
        <v>44512</v>
      </c>
      <c r="K237" s="2">
        <v>9529260603</v>
      </c>
      <c r="L237" s="2">
        <f t="shared" si="52"/>
        <v>9529260603</v>
      </c>
      <c r="M237" s="2" t="s">
        <v>36</v>
      </c>
      <c r="N237" s="2" t="str">
        <f t="shared" si="53"/>
        <v>neha@company.com</v>
      </c>
      <c r="O237" s="12">
        <v>79305</v>
      </c>
      <c r="P237" s="2" t="str">
        <f t="shared" si="42"/>
        <v>60K-80K</v>
      </c>
      <c r="Q237" s="2"/>
      <c r="R237" s="2" t="s">
        <v>358</v>
      </c>
      <c r="S237" s="2" t="str">
        <f t="shared" si="43"/>
        <v>M1</v>
      </c>
      <c r="T237" s="2" t="s">
        <v>17</v>
      </c>
      <c r="U237" s="2" t="str">
        <f t="shared" si="54"/>
        <v>RESIGNED</v>
      </c>
      <c r="V237" s="2">
        <f t="shared" ca="1" si="44"/>
        <v>1035</v>
      </c>
      <c r="W237" s="2">
        <f t="shared" ca="1" si="45"/>
        <v>34</v>
      </c>
      <c r="X237" s="2">
        <f t="shared" ca="1" si="46"/>
        <v>2</v>
      </c>
      <c r="Y237" s="2"/>
      <c r="Z237" s="2"/>
      <c r="AA237" s="2" t="str">
        <f t="shared" ca="1" si="55"/>
        <v>OK</v>
      </c>
    </row>
    <row r="238" spans="1:27" x14ac:dyDescent="0.3">
      <c r="A238" s="2" t="s">
        <v>754</v>
      </c>
      <c r="B238" s="2" t="str">
        <f t="shared" si="47"/>
        <v>EMP237</v>
      </c>
      <c r="C238" s="2" t="s">
        <v>39</v>
      </c>
      <c r="D238" s="2" t="str">
        <f t="shared" si="48"/>
        <v>Amit</v>
      </c>
      <c r="E238" s="2" t="s">
        <v>19</v>
      </c>
      <c r="F238" s="2" t="str">
        <f t="shared" si="49"/>
        <v>FINANCE</v>
      </c>
      <c r="G238" s="6" t="s">
        <v>755</v>
      </c>
      <c r="H238" s="8">
        <f t="shared" si="50"/>
        <v>43501</v>
      </c>
      <c r="I238" s="2" t="s">
        <v>756</v>
      </c>
      <c r="J238" s="3">
        <f t="shared" ca="1" si="51"/>
        <v>44288</v>
      </c>
      <c r="K238" s="2">
        <v>9946995714</v>
      </c>
      <c r="L238" s="2">
        <f t="shared" si="52"/>
        <v>9946995714</v>
      </c>
      <c r="M238" s="2" t="s">
        <v>118</v>
      </c>
      <c r="N238" s="2" t="str">
        <f t="shared" si="53"/>
        <v>rahul@company.com</v>
      </c>
      <c r="O238" s="12">
        <v>46302</v>
      </c>
      <c r="P238" s="2" t="str">
        <f t="shared" si="42"/>
        <v>40K-60K</v>
      </c>
      <c r="Q238" s="2"/>
      <c r="R238" s="2" t="s">
        <v>61</v>
      </c>
      <c r="S238" s="2" t="str">
        <f t="shared" si="43"/>
        <v>M13</v>
      </c>
      <c r="T238" s="2" t="s">
        <v>37</v>
      </c>
      <c r="U238" s="2" t="str">
        <f t="shared" si="54"/>
        <v>ACTIVE</v>
      </c>
      <c r="V238" s="2">
        <f t="shared" ca="1" si="44"/>
        <v>787</v>
      </c>
      <c r="W238" s="2">
        <f t="shared" ca="1" si="45"/>
        <v>25</v>
      </c>
      <c r="X238" s="2">
        <f t="shared" ca="1" si="46"/>
        <v>2</v>
      </c>
      <c r="Y238" s="2"/>
      <c r="Z238" s="2"/>
      <c r="AA238" s="2" t="str">
        <f t="shared" ca="1" si="55"/>
        <v>OK</v>
      </c>
    </row>
    <row r="239" spans="1:27" x14ac:dyDescent="0.3">
      <c r="A239" s="2" t="s">
        <v>757</v>
      </c>
      <c r="B239" s="2" t="str">
        <f t="shared" si="47"/>
        <v>EMP238</v>
      </c>
      <c r="C239" s="2" t="s">
        <v>63</v>
      </c>
      <c r="D239" s="2" t="str">
        <f t="shared" si="48"/>
        <v>Pooja</v>
      </c>
      <c r="E239" s="2" t="s">
        <v>33</v>
      </c>
      <c r="F239" s="2" t="str">
        <f t="shared" si="49"/>
        <v>IT</v>
      </c>
      <c r="G239" s="6" t="s">
        <v>758</v>
      </c>
      <c r="H239" s="8">
        <f t="shared" si="50"/>
        <v>45104</v>
      </c>
      <c r="I239" s="2"/>
      <c r="J239" s="3">
        <f t="shared" ca="1" si="51"/>
        <v>46024</v>
      </c>
      <c r="K239" s="2">
        <v>9980313593</v>
      </c>
      <c r="L239" s="2">
        <f t="shared" si="52"/>
        <v>9980313593</v>
      </c>
      <c r="M239" s="2" t="s">
        <v>29</v>
      </c>
      <c r="N239" s="2" t="str">
        <f t="shared" si="53"/>
        <v>suresh@company.com</v>
      </c>
      <c r="O239" s="12">
        <v>21764</v>
      </c>
      <c r="P239" s="2" t="str">
        <f t="shared" si="42"/>
        <v>20K-40K</v>
      </c>
      <c r="Q239" s="2"/>
      <c r="R239" s="2" t="s">
        <v>108</v>
      </c>
      <c r="S239" s="2" t="str">
        <f t="shared" si="43"/>
        <v>M10</v>
      </c>
      <c r="T239" s="2" t="s">
        <v>17</v>
      </c>
      <c r="U239" s="2" t="str">
        <f t="shared" si="54"/>
        <v>RESIGNED</v>
      </c>
      <c r="V239" s="2">
        <f t="shared" ca="1" si="44"/>
        <v>920</v>
      </c>
      <c r="W239" s="2">
        <f t="shared" ca="1" si="45"/>
        <v>30</v>
      </c>
      <c r="X239" s="2">
        <f t="shared" ca="1" si="46"/>
        <v>2</v>
      </c>
      <c r="Y239" s="2"/>
      <c r="Z239" s="2"/>
      <c r="AA239" s="2" t="str">
        <f t="shared" ca="1" si="55"/>
        <v>OK</v>
      </c>
    </row>
    <row r="240" spans="1:27" x14ac:dyDescent="0.3">
      <c r="A240" s="2" t="s">
        <v>759</v>
      </c>
      <c r="B240" s="2" t="str">
        <f t="shared" si="47"/>
        <v>EMP239</v>
      </c>
      <c r="C240" s="2" t="s">
        <v>96</v>
      </c>
      <c r="D240" s="2" t="str">
        <f t="shared" si="48"/>
        <v>Neha</v>
      </c>
      <c r="E240" s="2" t="s">
        <v>129</v>
      </c>
      <c r="F240" s="2" t="str">
        <f t="shared" si="49"/>
        <v>SALES</v>
      </c>
      <c r="G240" s="6" t="s">
        <v>760</v>
      </c>
      <c r="H240" s="8">
        <f t="shared" si="50"/>
        <v>43624</v>
      </c>
      <c r="I240" s="2" t="s">
        <v>761</v>
      </c>
      <c r="J240" s="3">
        <f t="shared" ca="1" si="51"/>
        <v>45005</v>
      </c>
      <c r="K240" s="2">
        <v>9967016203</v>
      </c>
      <c r="L240" s="2">
        <f t="shared" si="52"/>
        <v>9967016203</v>
      </c>
      <c r="M240" s="2" t="s">
        <v>15</v>
      </c>
      <c r="N240" s="2" t="str">
        <f t="shared" si="53"/>
        <v>amit@company.com</v>
      </c>
      <c r="O240" s="12">
        <v>71971</v>
      </c>
      <c r="P240" s="2" t="str">
        <f t="shared" si="42"/>
        <v>60K-80K</v>
      </c>
      <c r="Q240" s="2"/>
      <c r="R240" s="2" t="s">
        <v>358</v>
      </c>
      <c r="S240" s="2" t="str">
        <f t="shared" si="43"/>
        <v>M1</v>
      </c>
      <c r="T240" s="2" t="s">
        <v>17</v>
      </c>
      <c r="U240" s="2" t="str">
        <f t="shared" si="54"/>
        <v>RESIGNED</v>
      </c>
      <c r="V240" s="2">
        <f t="shared" ca="1" si="44"/>
        <v>1381</v>
      </c>
      <c r="W240" s="2">
        <f t="shared" ca="1" si="45"/>
        <v>45</v>
      </c>
      <c r="X240" s="2">
        <f t="shared" ca="1" si="46"/>
        <v>3</v>
      </c>
      <c r="Y240" s="2"/>
      <c r="Z240" s="2"/>
      <c r="AA240" s="2" t="str">
        <f t="shared" ca="1" si="55"/>
        <v>OK</v>
      </c>
    </row>
    <row r="241" spans="1:27" x14ac:dyDescent="0.3">
      <c r="A241" s="2" t="s">
        <v>762</v>
      </c>
      <c r="B241" s="2" t="str">
        <f t="shared" si="47"/>
        <v>EMP240</v>
      </c>
      <c r="C241" s="2" t="s">
        <v>11</v>
      </c>
      <c r="D241" s="2" t="str">
        <f t="shared" si="48"/>
        <v>Ravi</v>
      </c>
      <c r="E241" s="2" t="s">
        <v>26</v>
      </c>
      <c r="F241" s="2" t="str">
        <f t="shared" si="49"/>
        <v>HR</v>
      </c>
      <c r="G241" s="6" t="s">
        <v>763</v>
      </c>
      <c r="H241" s="8">
        <f t="shared" si="50"/>
        <v>43509</v>
      </c>
      <c r="I241" s="2" t="s">
        <v>764</v>
      </c>
      <c r="J241" s="3">
        <f t="shared" ca="1" si="51"/>
        <v>44666</v>
      </c>
      <c r="K241" s="2">
        <v>9235530722</v>
      </c>
      <c r="L241" s="2">
        <f t="shared" si="52"/>
        <v>9235530722</v>
      </c>
      <c r="M241" s="2" t="s">
        <v>234</v>
      </c>
      <c r="N241" s="2" t="str">
        <f t="shared" si="53"/>
        <v>amit@gmail.com</v>
      </c>
      <c r="O241" s="12">
        <v>19830</v>
      </c>
      <c r="P241" s="2" t="str">
        <f t="shared" si="42"/>
        <v>Below 20K</v>
      </c>
      <c r="Q241" s="2"/>
      <c r="R241" s="2" t="s">
        <v>341</v>
      </c>
      <c r="S241" s="2" t="str">
        <f t="shared" si="43"/>
        <v>M22</v>
      </c>
      <c r="T241" s="2" t="s">
        <v>31</v>
      </c>
      <c r="U241" s="2" t="str">
        <f t="shared" si="54"/>
        <v>ON HOLD</v>
      </c>
      <c r="V241" s="2">
        <f t="shared" ca="1" si="44"/>
        <v>1157</v>
      </c>
      <c r="W241" s="2">
        <f t="shared" ca="1" si="45"/>
        <v>38</v>
      </c>
      <c r="X241" s="2">
        <f t="shared" ca="1" si="46"/>
        <v>3</v>
      </c>
      <c r="Y241" s="2"/>
      <c r="Z241" s="2"/>
      <c r="AA241" s="2" t="str">
        <f t="shared" ca="1" si="55"/>
        <v>OK</v>
      </c>
    </row>
    <row r="242" spans="1:27" x14ac:dyDescent="0.3">
      <c r="A242" s="2" t="s">
        <v>765</v>
      </c>
      <c r="B242" s="2" t="str">
        <f t="shared" si="47"/>
        <v>EMP241</v>
      </c>
      <c r="C242" s="2" t="s">
        <v>25</v>
      </c>
      <c r="D242" s="2" t="str">
        <f t="shared" si="48"/>
        <v>Ankit</v>
      </c>
      <c r="E242" s="2" t="s">
        <v>48</v>
      </c>
      <c r="F242" s="2" t="str">
        <f t="shared" si="49"/>
        <v>FINANCE</v>
      </c>
      <c r="G242" s="6" t="s">
        <v>766</v>
      </c>
      <c r="H242" s="8">
        <f t="shared" si="50"/>
        <v>43987</v>
      </c>
      <c r="I242" s="2" t="s">
        <v>767</v>
      </c>
      <c r="J242" s="3">
        <f t="shared" ca="1" si="51"/>
        <v>45119</v>
      </c>
      <c r="K242" s="2">
        <v>9625628662</v>
      </c>
      <c r="L242" s="2">
        <f t="shared" si="52"/>
        <v>9625628662</v>
      </c>
      <c r="M242" s="2" t="s">
        <v>43</v>
      </c>
      <c r="N242" s="2" t="str">
        <f t="shared" si="53"/>
        <v>ravi@company.com</v>
      </c>
      <c r="O242" s="12">
        <v>56827</v>
      </c>
      <c r="P242" s="2" t="str">
        <f t="shared" si="42"/>
        <v>40K-60K</v>
      </c>
      <c r="Q242" s="2"/>
      <c r="R242" s="2" t="s">
        <v>358</v>
      </c>
      <c r="S242" s="2" t="str">
        <f t="shared" si="43"/>
        <v>M1</v>
      </c>
      <c r="T242" s="2" t="s">
        <v>149</v>
      </c>
      <c r="U242" s="2" t="str">
        <f t="shared" si="54"/>
        <v>ACTIVE</v>
      </c>
      <c r="V242" s="2">
        <f t="shared" ca="1" si="44"/>
        <v>1132</v>
      </c>
      <c r="W242" s="2">
        <f t="shared" ca="1" si="45"/>
        <v>37</v>
      </c>
      <c r="X242" s="2">
        <f t="shared" ca="1" si="46"/>
        <v>3</v>
      </c>
      <c r="Y242" s="2"/>
      <c r="Z242" s="2"/>
      <c r="AA242" s="2" t="str">
        <f t="shared" ca="1" si="55"/>
        <v>OK</v>
      </c>
    </row>
    <row r="243" spans="1:27" x14ac:dyDescent="0.3">
      <c r="A243" s="2" t="s">
        <v>768</v>
      </c>
      <c r="B243" s="2" t="str">
        <f t="shared" si="47"/>
        <v>EMP242</v>
      </c>
      <c r="C243" s="2" t="s">
        <v>115</v>
      </c>
      <c r="D243" s="2" t="str">
        <f t="shared" si="48"/>
        <v>Rahul</v>
      </c>
      <c r="E243" s="2" t="s">
        <v>129</v>
      </c>
      <c r="F243" s="2" t="str">
        <f t="shared" si="49"/>
        <v>SALES</v>
      </c>
      <c r="G243" s="6" t="s">
        <v>769</v>
      </c>
      <c r="H243" s="8">
        <f t="shared" si="50"/>
        <v>43577</v>
      </c>
      <c r="I243" s="2" t="s">
        <v>770</v>
      </c>
      <c r="J243" s="3">
        <f t="shared" ca="1" si="51"/>
        <v>43726</v>
      </c>
      <c r="K243" s="2">
        <v>9461669182</v>
      </c>
      <c r="L243" s="2">
        <f t="shared" si="52"/>
        <v>9461669182</v>
      </c>
      <c r="M243" s="2" t="s">
        <v>15</v>
      </c>
      <c r="N243" s="2" t="str">
        <f t="shared" si="53"/>
        <v>amit@company.com</v>
      </c>
      <c r="O243" s="12">
        <v>37773</v>
      </c>
      <c r="P243" s="2" t="str">
        <f t="shared" si="42"/>
        <v>20K-40K</v>
      </c>
      <c r="Q243" s="2"/>
      <c r="R243" s="2" t="s">
        <v>235</v>
      </c>
      <c r="S243" s="2" t="str">
        <f t="shared" si="43"/>
        <v>M25</v>
      </c>
      <c r="T243" s="2" t="s">
        <v>45</v>
      </c>
      <c r="U243" s="2" t="str">
        <f t="shared" si="54"/>
        <v>RESIGNED</v>
      </c>
      <c r="V243" s="2">
        <f t="shared" ca="1" si="44"/>
        <v>149</v>
      </c>
      <c r="W243" s="2">
        <f t="shared" ca="1" si="45"/>
        <v>4</v>
      </c>
      <c r="X243" s="2">
        <f t="shared" ca="1" si="46"/>
        <v>0</v>
      </c>
      <c r="Y243" s="2"/>
      <c r="Z243" s="2"/>
      <c r="AA243" s="2" t="str">
        <f t="shared" ca="1" si="55"/>
        <v>OK</v>
      </c>
    </row>
    <row r="244" spans="1:27" x14ac:dyDescent="0.3">
      <c r="A244" s="2" t="s">
        <v>771</v>
      </c>
      <c r="B244" s="2" t="str">
        <f t="shared" si="47"/>
        <v>EMP243</v>
      </c>
      <c r="C244" s="2" t="s">
        <v>81</v>
      </c>
      <c r="D244" s="2" t="str">
        <f t="shared" si="48"/>
        <v>Suresh</v>
      </c>
      <c r="E244" s="2" t="s">
        <v>129</v>
      </c>
      <c r="F244" s="2" t="str">
        <f t="shared" si="49"/>
        <v>SALES</v>
      </c>
      <c r="G244" s="6" t="s">
        <v>772</v>
      </c>
      <c r="H244" s="8">
        <f t="shared" si="50"/>
        <v>45174</v>
      </c>
      <c r="I244" s="2" t="s">
        <v>773</v>
      </c>
      <c r="J244" s="3">
        <f t="shared" ca="1" si="51"/>
        <v>46066</v>
      </c>
      <c r="K244" s="2">
        <v>9333268991</v>
      </c>
      <c r="L244" s="2">
        <f t="shared" si="52"/>
        <v>9333268991</v>
      </c>
      <c r="M244" s="2" t="s">
        <v>22</v>
      </c>
      <c r="N244" s="2" t="str">
        <f t="shared" si="53"/>
        <v>pooja@company.com</v>
      </c>
      <c r="O244" s="12">
        <v>84591</v>
      </c>
      <c r="P244" s="2" t="str">
        <f t="shared" si="42"/>
        <v>Above 80K</v>
      </c>
      <c r="Q244" s="2"/>
      <c r="R244" s="2" t="s">
        <v>774</v>
      </c>
      <c r="S244" s="2" t="str">
        <f t="shared" si="43"/>
        <v>M8</v>
      </c>
      <c r="T244" s="2" t="s">
        <v>45</v>
      </c>
      <c r="U244" s="2" t="str">
        <f t="shared" si="54"/>
        <v>RESIGNED</v>
      </c>
      <c r="V244" s="2">
        <f t="shared" ca="1" si="44"/>
        <v>892</v>
      </c>
      <c r="W244" s="2">
        <f t="shared" ca="1" si="45"/>
        <v>29</v>
      </c>
      <c r="X244" s="2">
        <f t="shared" ca="1" si="46"/>
        <v>2</v>
      </c>
      <c r="Y244" s="2"/>
      <c r="Z244" s="2"/>
      <c r="AA244" s="2" t="str">
        <f t="shared" ca="1" si="55"/>
        <v>OK</v>
      </c>
    </row>
    <row r="245" spans="1:27" x14ac:dyDescent="0.3">
      <c r="A245" s="2" t="s">
        <v>775</v>
      </c>
      <c r="B245" s="2" t="str">
        <f t="shared" si="47"/>
        <v>EMP244</v>
      </c>
      <c r="C245" s="2" t="s">
        <v>39</v>
      </c>
      <c r="D245" s="2" t="str">
        <f t="shared" si="48"/>
        <v>Amit</v>
      </c>
      <c r="E245" s="2" t="s">
        <v>19</v>
      </c>
      <c r="F245" s="2" t="str">
        <f t="shared" si="49"/>
        <v>FINANCE</v>
      </c>
      <c r="G245" s="6" t="s">
        <v>776</v>
      </c>
      <c r="H245" s="8">
        <f t="shared" si="50"/>
        <v>45056</v>
      </c>
      <c r="I245" s="2" t="s">
        <v>777</v>
      </c>
      <c r="J245" s="3">
        <f t="shared" ca="1" si="51"/>
        <v>46344</v>
      </c>
      <c r="K245" s="2">
        <v>9772750823</v>
      </c>
      <c r="L245" s="2">
        <f t="shared" si="52"/>
        <v>9772750823</v>
      </c>
      <c r="M245" s="2" t="s">
        <v>70</v>
      </c>
      <c r="N245" s="2" t="str">
        <f t="shared" si="53"/>
        <v>sunita@company.com</v>
      </c>
      <c r="O245" s="12">
        <v>46770</v>
      </c>
      <c r="P245" s="2" t="str">
        <f t="shared" si="42"/>
        <v>40K-60K</v>
      </c>
      <c r="Q245" s="2"/>
      <c r="R245" s="2" t="s">
        <v>235</v>
      </c>
      <c r="S245" s="2" t="str">
        <f t="shared" si="43"/>
        <v>M25</v>
      </c>
      <c r="T245" s="2" t="s">
        <v>31</v>
      </c>
      <c r="U245" s="2" t="str">
        <f t="shared" si="54"/>
        <v>ON HOLD</v>
      </c>
      <c r="V245" s="2">
        <f t="shared" ca="1" si="44"/>
        <v>1288</v>
      </c>
      <c r="W245" s="2">
        <f t="shared" ca="1" si="45"/>
        <v>42</v>
      </c>
      <c r="X245" s="2">
        <f t="shared" ca="1" si="46"/>
        <v>3</v>
      </c>
      <c r="Y245" s="2"/>
      <c r="Z245" s="2"/>
      <c r="AA245" s="2" t="str">
        <f t="shared" ca="1" si="55"/>
        <v>OK</v>
      </c>
    </row>
    <row r="246" spans="1:27" x14ac:dyDescent="0.3">
      <c r="A246" s="2" t="s">
        <v>778</v>
      </c>
      <c r="B246" s="2" t="str">
        <f t="shared" si="47"/>
        <v>EMP245</v>
      </c>
      <c r="C246" s="2" t="s">
        <v>11</v>
      </c>
      <c r="D246" s="2" t="str">
        <f t="shared" si="48"/>
        <v>Ravi</v>
      </c>
      <c r="E246" s="2" t="s">
        <v>19</v>
      </c>
      <c r="F246" s="2" t="str">
        <f t="shared" si="49"/>
        <v>FINANCE</v>
      </c>
      <c r="G246" s="6" t="s">
        <v>779</v>
      </c>
      <c r="H246" s="8">
        <f t="shared" si="50"/>
        <v>44990</v>
      </c>
      <c r="I246" s="2"/>
      <c r="J246" s="3">
        <f t="shared" ca="1" si="51"/>
        <v>46024</v>
      </c>
      <c r="K246" s="2">
        <v>9741945386</v>
      </c>
      <c r="L246" s="2">
        <f t="shared" si="52"/>
        <v>9741945386</v>
      </c>
      <c r="M246" s="2" t="s">
        <v>118</v>
      </c>
      <c r="N246" s="2" t="str">
        <f t="shared" si="53"/>
        <v>rahul@company.com</v>
      </c>
      <c r="O246" s="12">
        <v>93059</v>
      </c>
      <c r="P246" s="2" t="str">
        <f t="shared" si="42"/>
        <v>Above 80K</v>
      </c>
      <c r="Q246" s="2"/>
      <c r="R246" s="2" t="s">
        <v>156</v>
      </c>
      <c r="S246" s="2" t="str">
        <f t="shared" si="43"/>
        <v>M6</v>
      </c>
      <c r="T246" s="2" t="s">
        <v>149</v>
      </c>
      <c r="U246" s="2" t="str">
        <f t="shared" si="54"/>
        <v>ACTIVE</v>
      </c>
      <c r="V246" s="2">
        <f t="shared" ca="1" si="44"/>
        <v>1034</v>
      </c>
      <c r="W246" s="2">
        <f t="shared" ca="1" si="45"/>
        <v>33</v>
      </c>
      <c r="X246" s="2">
        <f t="shared" ca="1" si="46"/>
        <v>2</v>
      </c>
      <c r="Y246" s="2"/>
      <c r="Z246" s="2"/>
      <c r="AA246" s="2" t="str">
        <f t="shared" ca="1" si="55"/>
        <v>OK</v>
      </c>
    </row>
    <row r="247" spans="1:27" x14ac:dyDescent="0.3">
      <c r="A247" s="2" t="s">
        <v>780</v>
      </c>
      <c r="B247" s="2" t="str">
        <f t="shared" si="47"/>
        <v>EMP246</v>
      </c>
      <c r="C247" s="2" t="s">
        <v>81</v>
      </c>
      <c r="D247" s="2" t="str">
        <f t="shared" si="48"/>
        <v>Suresh</v>
      </c>
      <c r="E247" s="2" t="s">
        <v>19</v>
      </c>
      <c r="F247" s="2" t="str">
        <f t="shared" si="49"/>
        <v>FINANCE</v>
      </c>
      <c r="G247" s="6" t="s">
        <v>781</v>
      </c>
      <c r="H247" s="8">
        <f t="shared" si="50"/>
        <v>44118</v>
      </c>
      <c r="I247" s="2" t="s">
        <v>782</v>
      </c>
      <c r="J247" s="3">
        <f t="shared" ca="1" si="51"/>
        <v>44370</v>
      </c>
      <c r="K247" s="2">
        <v>9127901956</v>
      </c>
      <c r="L247" s="2">
        <f t="shared" si="52"/>
        <v>9127901956</v>
      </c>
      <c r="M247" s="2" t="s">
        <v>43</v>
      </c>
      <c r="N247" s="2" t="str">
        <f t="shared" si="53"/>
        <v>ravi@company.com</v>
      </c>
      <c r="O247" s="12">
        <v>85725</v>
      </c>
      <c r="P247" s="2" t="str">
        <f t="shared" si="42"/>
        <v>Above 80K</v>
      </c>
      <c r="Q247" s="2"/>
      <c r="R247" s="2" t="s">
        <v>61</v>
      </c>
      <c r="S247" s="2" t="str">
        <f t="shared" si="43"/>
        <v>M13</v>
      </c>
      <c r="T247" s="2" t="s">
        <v>149</v>
      </c>
      <c r="U247" s="2" t="str">
        <f t="shared" si="54"/>
        <v>ACTIVE</v>
      </c>
      <c r="V247" s="2">
        <f t="shared" ca="1" si="44"/>
        <v>252</v>
      </c>
      <c r="W247" s="2">
        <f t="shared" ca="1" si="45"/>
        <v>8</v>
      </c>
      <c r="X247" s="2">
        <f t="shared" ca="1" si="46"/>
        <v>0</v>
      </c>
      <c r="Y247" s="2"/>
      <c r="Z247" s="2"/>
      <c r="AA247" s="2" t="str">
        <f t="shared" ca="1" si="55"/>
        <v>CHECK</v>
      </c>
    </row>
    <row r="248" spans="1:27" x14ac:dyDescent="0.3">
      <c r="A248" s="2" t="s">
        <v>783</v>
      </c>
      <c r="B248" s="2" t="str">
        <f t="shared" si="47"/>
        <v>EMP247</v>
      </c>
      <c r="C248" s="2" t="s">
        <v>25</v>
      </c>
      <c r="D248" s="2" t="str">
        <f t="shared" si="48"/>
        <v>Ankit</v>
      </c>
      <c r="E248" s="2" t="s">
        <v>26</v>
      </c>
      <c r="F248" s="2" t="str">
        <f t="shared" si="49"/>
        <v>HR</v>
      </c>
      <c r="G248" s="6" t="s">
        <v>784</v>
      </c>
      <c r="H248" s="8">
        <f t="shared" si="50"/>
        <v>43552</v>
      </c>
      <c r="I248" s="2" t="s">
        <v>785</v>
      </c>
      <c r="J248" s="3">
        <f t="shared" ca="1" si="51"/>
        <v>44898</v>
      </c>
      <c r="K248" s="2">
        <v>9276954601</v>
      </c>
      <c r="L248" s="2">
        <f t="shared" si="52"/>
        <v>9276954601</v>
      </c>
      <c r="M248" s="2" t="s">
        <v>51</v>
      </c>
      <c r="N248" s="2" t="str">
        <f t="shared" si="53"/>
        <v>kiran@company.com</v>
      </c>
      <c r="O248" s="12">
        <v>23158</v>
      </c>
      <c r="P248" s="2" t="str">
        <f t="shared" si="42"/>
        <v>20K-40K</v>
      </c>
      <c r="Q248" s="2"/>
      <c r="R248" s="2" t="s">
        <v>55</v>
      </c>
      <c r="S248" s="2" t="str">
        <f t="shared" si="43"/>
        <v>M2</v>
      </c>
      <c r="T248" s="2" t="s">
        <v>17</v>
      </c>
      <c r="U248" s="2" t="str">
        <f t="shared" si="54"/>
        <v>RESIGNED</v>
      </c>
      <c r="V248" s="2">
        <f t="shared" ca="1" si="44"/>
        <v>1346</v>
      </c>
      <c r="W248" s="2">
        <f t="shared" ca="1" si="45"/>
        <v>44</v>
      </c>
      <c r="X248" s="2">
        <f t="shared" ca="1" si="46"/>
        <v>3</v>
      </c>
      <c r="Y248" s="2"/>
      <c r="Z248" s="2"/>
      <c r="AA248" s="2" t="str">
        <f t="shared" ca="1" si="55"/>
        <v>OK</v>
      </c>
    </row>
    <row r="249" spans="1:27" x14ac:dyDescent="0.3">
      <c r="A249" s="2" t="s">
        <v>786</v>
      </c>
      <c r="B249" s="2" t="str">
        <f t="shared" si="47"/>
        <v>EMP248</v>
      </c>
      <c r="C249" s="2" t="s">
        <v>81</v>
      </c>
      <c r="D249" s="2" t="str">
        <f t="shared" si="48"/>
        <v>Suresh</v>
      </c>
      <c r="E249" s="2" t="s">
        <v>12</v>
      </c>
      <c r="F249" s="2" t="str">
        <f t="shared" si="49"/>
        <v>IT</v>
      </c>
      <c r="G249" s="6" t="s">
        <v>787</v>
      </c>
      <c r="H249" s="8">
        <f t="shared" si="50"/>
        <v>43686</v>
      </c>
      <c r="I249" s="2" t="s">
        <v>316</v>
      </c>
      <c r="J249" s="3">
        <f t="shared" ca="1" si="51"/>
        <v>45183</v>
      </c>
      <c r="K249" s="2">
        <v>9345759044</v>
      </c>
      <c r="L249" s="2">
        <f t="shared" si="52"/>
        <v>9345759044</v>
      </c>
      <c r="M249" s="2" t="s">
        <v>234</v>
      </c>
      <c r="N249" s="2" t="str">
        <f t="shared" si="53"/>
        <v>amit@gmail.com</v>
      </c>
      <c r="O249" s="12">
        <v>86179</v>
      </c>
      <c r="P249" s="2" t="str">
        <f t="shared" si="42"/>
        <v>Above 80K</v>
      </c>
      <c r="Q249" s="2"/>
      <c r="R249" s="2" t="s">
        <v>85</v>
      </c>
      <c r="S249" s="2" t="str">
        <f t="shared" si="43"/>
        <v>M24</v>
      </c>
      <c r="T249" s="2" t="s">
        <v>45</v>
      </c>
      <c r="U249" s="2" t="str">
        <f t="shared" si="54"/>
        <v>RESIGNED</v>
      </c>
      <c r="V249" s="2">
        <f t="shared" ca="1" si="44"/>
        <v>1497</v>
      </c>
      <c r="W249" s="2">
        <f t="shared" ca="1" si="45"/>
        <v>49</v>
      </c>
      <c r="X249" s="2">
        <f t="shared" ca="1" si="46"/>
        <v>4</v>
      </c>
      <c r="Y249" s="2"/>
      <c r="Z249" s="2"/>
      <c r="AA249" s="2" t="str">
        <f t="shared" ca="1" si="55"/>
        <v>OK</v>
      </c>
    </row>
    <row r="250" spans="1:27" x14ac:dyDescent="0.3">
      <c r="A250" s="2" t="s">
        <v>788</v>
      </c>
      <c r="B250" s="2" t="str">
        <f t="shared" si="47"/>
        <v>EMP249</v>
      </c>
      <c r="C250" s="2" t="s">
        <v>81</v>
      </c>
      <c r="D250" s="2" t="str">
        <f t="shared" si="48"/>
        <v>Suresh</v>
      </c>
      <c r="E250" s="2" t="s">
        <v>57</v>
      </c>
      <c r="F250" s="2" t="str">
        <f t="shared" si="49"/>
        <v>HR</v>
      </c>
      <c r="G250" s="6" t="s">
        <v>789</v>
      </c>
      <c r="H250" s="8">
        <f t="shared" si="50"/>
        <v>44250</v>
      </c>
      <c r="I250" s="2" t="s">
        <v>790</v>
      </c>
      <c r="J250" s="3">
        <f t="shared" ca="1" si="51"/>
        <v>45052</v>
      </c>
      <c r="K250" s="2">
        <v>9634577818</v>
      </c>
      <c r="L250" s="2">
        <f t="shared" si="52"/>
        <v>9634577818</v>
      </c>
      <c r="M250" s="2" t="s">
        <v>84</v>
      </c>
      <c r="N250" s="2" t="str">
        <f t="shared" si="53"/>
        <v>ankit@company.com</v>
      </c>
      <c r="O250" s="12">
        <v>38515</v>
      </c>
      <c r="P250" s="2" t="str">
        <f t="shared" si="42"/>
        <v>20K-40K</v>
      </c>
      <c r="Q250" s="2"/>
      <c r="R250" s="2" t="s">
        <v>341</v>
      </c>
      <c r="S250" s="2" t="str">
        <f t="shared" si="43"/>
        <v>M22</v>
      </c>
      <c r="T250" s="2" t="s">
        <v>149</v>
      </c>
      <c r="U250" s="2" t="str">
        <f t="shared" si="54"/>
        <v>ACTIVE</v>
      </c>
      <c r="V250" s="2">
        <f t="shared" ca="1" si="44"/>
        <v>802</v>
      </c>
      <c r="W250" s="2">
        <f t="shared" ca="1" si="45"/>
        <v>26</v>
      </c>
      <c r="X250" s="2">
        <f t="shared" ca="1" si="46"/>
        <v>2</v>
      </c>
      <c r="Y250" s="2"/>
      <c r="Z250" s="2"/>
      <c r="AA250" s="2" t="str">
        <f t="shared" ca="1" si="55"/>
        <v>OK</v>
      </c>
    </row>
    <row r="251" spans="1:27" x14ac:dyDescent="0.3">
      <c r="A251" s="2" t="s">
        <v>791</v>
      </c>
      <c r="B251" s="2" t="str">
        <f t="shared" si="47"/>
        <v>EMP250</v>
      </c>
      <c r="C251" s="2" t="s">
        <v>47</v>
      </c>
      <c r="D251" s="2" t="str">
        <f t="shared" si="48"/>
        <v>Sunita</v>
      </c>
      <c r="E251" s="2" t="s">
        <v>129</v>
      </c>
      <c r="F251" s="2" t="str">
        <f t="shared" si="49"/>
        <v>SALES</v>
      </c>
      <c r="G251" s="6" t="s">
        <v>792</v>
      </c>
      <c r="H251" s="8">
        <f t="shared" si="50"/>
        <v>44014</v>
      </c>
      <c r="I251" s="2" t="s">
        <v>793</v>
      </c>
      <c r="J251" s="3">
        <f t="shared" ca="1" si="51"/>
        <v>45025</v>
      </c>
      <c r="K251" s="2">
        <v>9339482228</v>
      </c>
      <c r="L251" s="2">
        <f t="shared" si="52"/>
        <v>9339482228</v>
      </c>
      <c r="M251" s="2" t="s">
        <v>15</v>
      </c>
      <c r="N251" s="2" t="str">
        <f t="shared" si="53"/>
        <v>amit@company.com</v>
      </c>
      <c r="O251" s="12">
        <v>51506</v>
      </c>
      <c r="P251" s="2" t="str">
        <f t="shared" si="42"/>
        <v>40K-60K</v>
      </c>
      <c r="Q251" s="2"/>
      <c r="R251" s="2" t="s">
        <v>186</v>
      </c>
      <c r="S251" s="2" t="str">
        <f t="shared" si="43"/>
        <v>M11</v>
      </c>
      <c r="T251" s="2" t="s">
        <v>17</v>
      </c>
      <c r="U251" s="2" t="str">
        <f t="shared" si="54"/>
        <v>RESIGNED</v>
      </c>
      <c r="V251" s="2">
        <f t="shared" ca="1" si="44"/>
        <v>1011</v>
      </c>
      <c r="W251" s="2">
        <f t="shared" ca="1" si="45"/>
        <v>33</v>
      </c>
      <c r="X251" s="2">
        <f t="shared" ca="1" si="46"/>
        <v>2</v>
      </c>
      <c r="Y251" s="2"/>
      <c r="Z251" s="2"/>
      <c r="AA251" s="2" t="str">
        <f t="shared" ca="1" si="55"/>
        <v>OK</v>
      </c>
    </row>
    <row r="252" spans="1:27" x14ac:dyDescent="0.3">
      <c r="A252" s="2" t="s">
        <v>794</v>
      </c>
      <c r="B252" s="2" t="str">
        <f t="shared" si="47"/>
        <v>EMP251</v>
      </c>
      <c r="C252" s="2" t="s">
        <v>115</v>
      </c>
      <c r="D252" s="2" t="str">
        <f t="shared" si="48"/>
        <v>Rahul</v>
      </c>
      <c r="E252" s="2" t="s">
        <v>48</v>
      </c>
      <c r="F252" s="2" t="str">
        <f t="shared" si="49"/>
        <v>FINANCE</v>
      </c>
      <c r="G252" s="6" t="s">
        <v>625</v>
      </c>
      <c r="H252" s="8">
        <f t="shared" si="50"/>
        <v>45060</v>
      </c>
      <c r="I252" s="2" t="s">
        <v>795</v>
      </c>
      <c r="J252" s="3">
        <f t="shared" ca="1" si="51"/>
        <v>45392</v>
      </c>
      <c r="K252" s="2">
        <v>9225478469</v>
      </c>
      <c r="L252" s="2">
        <f t="shared" si="52"/>
        <v>9225478469</v>
      </c>
      <c r="M252" s="2" t="s">
        <v>36</v>
      </c>
      <c r="N252" s="2" t="str">
        <f t="shared" si="53"/>
        <v>neha@company.com</v>
      </c>
      <c r="O252" s="12">
        <v>41829</v>
      </c>
      <c r="P252" s="2" t="str">
        <f t="shared" si="42"/>
        <v>40K-60K</v>
      </c>
      <c r="Q252" s="2"/>
      <c r="R252" s="2" t="s">
        <v>75</v>
      </c>
      <c r="S252" s="2" t="str">
        <f t="shared" si="43"/>
        <v>M12</v>
      </c>
      <c r="T252" s="2" t="s">
        <v>37</v>
      </c>
      <c r="U252" s="2" t="str">
        <f t="shared" si="54"/>
        <v>ACTIVE</v>
      </c>
      <c r="V252" s="2">
        <f t="shared" ca="1" si="44"/>
        <v>332</v>
      </c>
      <c r="W252" s="2">
        <f t="shared" ca="1" si="45"/>
        <v>10</v>
      </c>
      <c r="X252" s="2">
        <f t="shared" ca="1" si="46"/>
        <v>0</v>
      </c>
      <c r="Y252" s="2"/>
      <c r="Z252" s="2"/>
      <c r="AA252" s="2" t="str">
        <f t="shared" ca="1" si="55"/>
        <v>OK</v>
      </c>
    </row>
    <row r="253" spans="1:27" x14ac:dyDescent="0.3">
      <c r="A253" s="2" t="s">
        <v>796</v>
      </c>
      <c r="B253" s="2" t="str">
        <f t="shared" si="47"/>
        <v>EMP252</v>
      </c>
      <c r="C253" s="2" t="s">
        <v>161</v>
      </c>
      <c r="D253" s="2" t="str">
        <f t="shared" si="48"/>
        <v>Kiran</v>
      </c>
      <c r="E253" s="2" t="s">
        <v>26</v>
      </c>
      <c r="F253" s="2" t="str">
        <f t="shared" si="49"/>
        <v>HR</v>
      </c>
      <c r="G253" s="6" t="s">
        <v>797</v>
      </c>
      <c r="H253" s="8">
        <f t="shared" si="50"/>
        <v>44620</v>
      </c>
      <c r="I253" s="2"/>
      <c r="J253" s="3">
        <f t="shared" ca="1" si="51"/>
        <v>46024</v>
      </c>
      <c r="K253" s="2">
        <v>9207471715</v>
      </c>
      <c r="L253" s="2">
        <f t="shared" si="52"/>
        <v>9207471715</v>
      </c>
      <c r="M253" s="2" t="s">
        <v>51</v>
      </c>
      <c r="N253" s="2" t="str">
        <f t="shared" si="53"/>
        <v>kiran@company.com</v>
      </c>
      <c r="O253" s="12">
        <v>17408</v>
      </c>
      <c r="P253" s="2" t="str">
        <f t="shared" si="42"/>
        <v>Below 20K</v>
      </c>
      <c r="Q253" s="2"/>
      <c r="R253" s="2" t="s">
        <v>798</v>
      </c>
      <c r="S253" s="2" t="str">
        <f t="shared" si="43"/>
        <v>M2</v>
      </c>
      <c r="T253" s="2" t="s">
        <v>37</v>
      </c>
      <c r="U253" s="2" t="str">
        <f t="shared" si="54"/>
        <v>ACTIVE</v>
      </c>
      <c r="V253" s="2">
        <f t="shared" ca="1" si="44"/>
        <v>1404</v>
      </c>
      <c r="W253" s="2">
        <f t="shared" ca="1" si="45"/>
        <v>46</v>
      </c>
      <c r="X253" s="2">
        <f t="shared" ca="1" si="46"/>
        <v>3</v>
      </c>
      <c r="Y253" s="2"/>
      <c r="Z253" s="2"/>
      <c r="AA253" s="2" t="str">
        <f t="shared" ca="1" si="55"/>
        <v>OK</v>
      </c>
    </row>
    <row r="254" spans="1:27" x14ac:dyDescent="0.3">
      <c r="A254" s="2" t="s">
        <v>799</v>
      </c>
      <c r="B254" s="2" t="str">
        <f t="shared" si="47"/>
        <v>EMP253</v>
      </c>
      <c r="C254" s="2" t="s">
        <v>39</v>
      </c>
      <c r="D254" s="2" t="str">
        <f t="shared" si="48"/>
        <v>Amit</v>
      </c>
      <c r="E254" s="2" t="s">
        <v>48</v>
      </c>
      <c r="F254" s="2" t="str">
        <f t="shared" si="49"/>
        <v>FINANCE</v>
      </c>
      <c r="G254" s="6" t="s">
        <v>800</v>
      </c>
      <c r="H254" s="8">
        <f t="shared" si="50"/>
        <v>44434</v>
      </c>
      <c r="I254" s="2" t="s">
        <v>801</v>
      </c>
      <c r="J254" s="3">
        <f t="shared" ca="1" si="51"/>
        <v>45491</v>
      </c>
      <c r="K254" s="2">
        <v>9539364305</v>
      </c>
      <c r="L254" s="2">
        <f t="shared" si="52"/>
        <v>9539364305</v>
      </c>
      <c r="M254" s="2" t="s">
        <v>70</v>
      </c>
      <c r="N254" s="2" t="str">
        <f t="shared" si="53"/>
        <v>sunita@company.com</v>
      </c>
      <c r="O254" s="12">
        <v>35319</v>
      </c>
      <c r="P254" s="2" t="str">
        <f t="shared" si="42"/>
        <v>20K-40K</v>
      </c>
      <c r="Q254" s="2"/>
      <c r="R254" s="2" t="s">
        <v>61</v>
      </c>
      <c r="S254" s="2" t="str">
        <f t="shared" si="43"/>
        <v>M13</v>
      </c>
      <c r="T254" s="2" t="s">
        <v>149</v>
      </c>
      <c r="U254" s="2" t="str">
        <f t="shared" si="54"/>
        <v>ACTIVE</v>
      </c>
      <c r="V254" s="2">
        <f t="shared" ca="1" si="44"/>
        <v>1057</v>
      </c>
      <c r="W254" s="2">
        <f t="shared" ca="1" si="45"/>
        <v>34</v>
      </c>
      <c r="X254" s="2">
        <f t="shared" ca="1" si="46"/>
        <v>2</v>
      </c>
      <c r="Y254" s="2"/>
      <c r="Z254" s="2"/>
      <c r="AA254" s="2" t="str">
        <f t="shared" ca="1" si="55"/>
        <v>OK</v>
      </c>
    </row>
    <row r="255" spans="1:27" x14ac:dyDescent="0.3">
      <c r="A255" s="2" t="s">
        <v>802</v>
      </c>
      <c r="B255" s="2" t="str">
        <f t="shared" si="47"/>
        <v>EMP254</v>
      </c>
      <c r="C255" s="2" t="s">
        <v>104</v>
      </c>
      <c r="D255" s="2" t="str">
        <f t="shared" si="48"/>
        <v>Vikas</v>
      </c>
      <c r="E255" s="2" t="s">
        <v>48</v>
      </c>
      <c r="F255" s="2" t="str">
        <f t="shared" si="49"/>
        <v>FINANCE</v>
      </c>
      <c r="G255" s="6" t="s">
        <v>803</v>
      </c>
      <c r="H255" s="8">
        <f t="shared" si="50"/>
        <v>44587</v>
      </c>
      <c r="I255" s="2" t="s">
        <v>804</v>
      </c>
      <c r="J255" s="3">
        <f t="shared" ca="1" si="51"/>
        <v>45001</v>
      </c>
      <c r="K255" s="2">
        <v>9263134069</v>
      </c>
      <c r="L255" s="2">
        <f t="shared" si="52"/>
        <v>9263134069</v>
      </c>
      <c r="M255" s="2" t="s">
        <v>43</v>
      </c>
      <c r="N255" s="2" t="str">
        <f t="shared" si="53"/>
        <v>ravi@company.com</v>
      </c>
      <c r="O255" s="12">
        <v>81836</v>
      </c>
      <c r="P255" s="2" t="str">
        <f t="shared" si="42"/>
        <v>Above 80K</v>
      </c>
      <c r="Q255" s="2"/>
      <c r="R255" s="2" t="s">
        <v>52</v>
      </c>
      <c r="S255" s="2" t="str">
        <f t="shared" si="43"/>
        <v>M16</v>
      </c>
      <c r="T255" s="2" t="s">
        <v>149</v>
      </c>
      <c r="U255" s="2" t="str">
        <f t="shared" si="54"/>
        <v>ACTIVE</v>
      </c>
      <c r="V255" s="2">
        <f t="shared" ca="1" si="44"/>
        <v>414</v>
      </c>
      <c r="W255" s="2">
        <f t="shared" ca="1" si="45"/>
        <v>13</v>
      </c>
      <c r="X255" s="2">
        <f t="shared" ca="1" si="46"/>
        <v>1</v>
      </c>
      <c r="Y255" s="2"/>
      <c r="Z255" s="2"/>
      <c r="AA255" s="2" t="str">
        <f t="shared" ca="1" si="55"/>
        <v>CHECK</v>
      </c>
    </row>
    <row r="256" spans="1:27" x14ac:dyDescent="0.3">
      <c r="A256" s="2" t="s">
        <v>805</v>
      </c>
      <c r="B256" s="2" t="str">
        <f t="shared" si="47"/>
        <v>EMP255</v>
      </c>
      <c r="C256" s="2" t="s">
        <v>25</v>
      </c>
      <c r="D256" s="2" t="str">
        <f t="shared" si="48"/>
        <v>Ankit</v>
      </c>
      <c r="E256" s="2" t="s">
        <v>129</v>
      </c>
      <c r="F256" s="2" t="str">
        <f t="shared" si="49"/>
        <v>SALES</v>
      </c>
      <c r="G256" s="6" t="s">
        <v>806</v>
      </c>
      <c r="H256" s="8">
        <f t="shared" si="50"/>
        <v>44449</v>
      </c>
      <c r="I256" s="2" t="s">
        <v>807</v>
      </c>
      <c r="J256" s="3">
        <f t="shared" ca="1" si="51"/>
        <v>44807</v>
      </c>
      <c r="K256" s="2">
        <v>9639325222</v>
      </c>
      <c r="L256" s="2">
        <f t="shared" si="52"/>
        <v>9639325222</v>
      </c>
      <c r="M256" s="2" t="s">
        <v>51</v>
      </c>
      <c r="N256" s="2" t="str">
        <f t="shared" si="53"/>
        <v>kiran@company.com</v>
      </c>
      <c r="O256" s="12">
        <v>19155</v>
      </c>
      <c r="P256" s="2" t="str">
        <f t="shared" si="42"/>
        <v>Below 20K</v>
      </c>
      <c r="Q256" s="2"/>
      <c r="R256" s="2" t="s">
        <v>79</v>
      </c>
      <c r="S256" s="2" t="str">
        <f t="shared" si="43"/>
        <v>M20</v>
      </c>
      <c r="T256" s="2" t="s">
        <v>17</v>
      </c>
      <c r="U256" s="2" t="str">
        <f t="shared" si="54"/>
        <v>RESIGNED</v>
      </c>
      <c r="V256" s="2">
        <f t="shared" ca="1" si="44"/>
        <v>358</v>
      </c>
      <c r="W256" s="2">
        <f t="shared" ca="1" si="45"/>
        <v>11</v>
      </c>
      <c r="X256" s="2">
        <f t="shared" ca="1" si="46"/>
        <v>0</v>
      </c>
      <c r="Y256" s="2"/>
      <c r="Z256" s="2"/>
      <c r="AA256" s="2" t="str">
        <f t="shared" ca="1" si="55"/>
        <v>OK</v>
      </c>
    </row>
    <row r="257" spans="1:27" x14ac:dyDescent="0.3">
      <c r="A257" s="2" t="s">
        <v>808</v>
      </c>
      <c r="B257" s="2" t="str">
        <f t="shared" si="47"/>
        <v>EMP256</v>
      </c>
      <c r="C257" s="2" t="s">
        <v>104</v>
      </c>
      <c r="D257" s="2" t="str">
        <f t="shared" si="48"/>
        <v>Vikas</v>
      </c>
      <c r="E257" s="2" t="s">
        <v>26</v>
      </c>
      <c r="F257" s="2" t="str">
        <f t="shared" si="49"/>
        <v>HR</v>
      </c>
      <c r="G257" s="6" t="s">
        <v>809</v>
      </c>
      <c r="H257" s="8">
        <f t="shared" si="50"/>
        <v>44973</v>
      </c>
      <c r="I257" s="2" t="s">
        <v>711</v>
      </c>
      <c r="J257" s="3">
        <f t="shared" ca="1" si="51"/>
        <v>45090</v>
      </c>
      <c r="K257" s="2">
        <v>9453644712</v>
      </c>
      <c r="L257" s="2">
        <f t="shared" si="52"/>
        <v>9453644712</v>
      </c>
      <c r="M257" s="2" t="s">
        <v>126</v>
      </c>
      <c r="N257" s="2" t="str">
        <f t="shared" si="53"/>
        <v>neha@gmail.com</v>
      </c>
      <c r="O257" s="12">
        <v>36887</v>
      </c>
      <c r="P257" s="2" t="str">
        <f t="shared" si="42"/>
        <v>20K-40K</v>
      </c>
      <c r="Q257" s="2"/>
      <c r="R257" s="2" t="s">
        <v>156</v>
      </c>
      <c r="S257" s="2" t="str">
        <f t="shared" si="43"/>
        <v>M6</v>
      </c>
      <c r="T257" s="2" t="s">
        <v>45</v>
      </c>
      <c r="U257" s="2" t="str">
        <f t="shared" si="54"/>
        <v>RESIGNED</v>
      </c>
      <c r="V257" s="2">
        <f t="shared" ca="1" si="44"/>
        <v>117</v>
      </c>
      <c r="W257" s="2">
        <f t="shared" ca="1" si="45"/>
        <v>3</v>
      </c>
      <c r="X257" s="2">
        <f t="shared" ca="1" si="46"/>
        <v>0</v>
      </c>
      <c r="Y257" s="2"/>
      <c r="Z257" s="2"/>
      <c r="AA257" s="2" t="str">
        <f t="shared" ca="1" si="55"/>
        <v>OK</v>
      </c>
    </row>
    <row r="258" spans="1:27" x14ac:dyDescent="0.3">
      <c r="A258" s="2" t="s">
        <v>810</v>
      </c>
      <c r="B258" s="2" t="str">
        <f t="shared" si="47"/>
        <v>EMP257</v>
      </c>
      <c r="C258" s="2" t="s">
        <v>81</v>
      </c>
      <c r="D258" s="2" t="str">
        <f t="shared" si="48"/>
        <v>Suresh</v>
      </c>
      <c r="E258" s="2" t="s">
        <v>26</v>
      </c>
      <c r="F258" s="2" t="str">
        <f t="shared" si="49"/>
        <v>HR</v>
      </c>
      <c r="G258" s="6" t="s">
        <v>811</v>
      </c>
      <c r="H258" s="8">
        <f t="shared" si="50"/>
        <v>43530</v>
      </c>
      <c r="I258" s="2" t="s">
        <v>572</v>
      </c>
      <c r="J258" s="3">
        <f t="shared" ca="1" si="51"/>
        <v>44150</v>
      </c>
      <c r="K258" s="2">
        <v>9121664005</v>
      </c>
      <c r="L258" s="2">
        <f t="shared" si="52"/>
        <v>9121664005</v>
      </c>
      <c r="M258" s="2" t="s">
        <v>107</v>
      </c>
      <c r="N258" s="2" t="str">
        <f t="shared" si="53"/>
        <v>vikas@company.com</v>
      </c>
      <c r="O258" s="12">
        <v>16496</v>
      </c>
      <c r="P258" s="2" t="str">
        <f t="shared" ref="P258:P321" si="56">IF(O258&lt;20000,"Below 20K",
IF(O258&lt;=40000,"20K-40K",
IF(O258&lt;=60000,"40K-60K",
IF(O258&lt;=80000,"60K-80K",
"Above 80K"))))</f>
        <v>Below 20K</v>
      </c>
      <c r="Q258" s="2"/>
      <c r="R258" s="2" t="s">
        <v>341</v>
      </c>
      <c r="S258" s="2" t="str">
        <f t="shared" ref="S258:S321" si="57">TRIM(CLEAN(SUBSTITUTE(R258," ","")))</f>
        <v>M22</v>
      </c>
      <c r="T258" s="2" t="s">
        <v>17</v>
      </c>
      <c r="U258" s="2" t="str">
        <f t="shared" si="54"/>
        <v>RESIGNED</v>
      </c>
      <c r="V258" s="2">
        <f t="shared" ref="V258:V301" ca="1" si="58">DATEDIF(H258,J258,"D")</f>
        <v>620</v>
      </c>
      <c r="W258" s="2">
        <f t="shared" ref="W258:W301" ca="1" si="59">DATEDIF(H258,J258,"M")</f>
        <v>20</v>
      </c>
      <c r="X258" s="2">
        <f t="shared" ref="X258:X301" ca="1" si="60">DATEDIF(H258,J258,"Y")</f>
        <v>1</v>
      </c>
      <c r="Y258" s="2"/>
      <c r="Z258" s="2"/>
      <c r="AA258" s="2" t="str">
        <f t="shared" ca="1" si="55"/>
        <v>OK</v>
      </c>
    </row>
    <row r="259" spans="1:27" x14ac:dyDescent="0.3">
      <c r="A259" s="2" t="s">
        <v>812</v>
      </c>
      <c r="B259" s="2" t="str">
        <f t="shared" ref="B259:B301" si="61">TRIM(UPPER(A259))</f>
        <v>EMP258</v>
      </c>
      <c r="C259" s="2" t="s">
        <v>63</v>
      </c>
      <c r="D259" s="2" t="str">
        <f t="shared" ref="D259:D301" si="62">PROPER(TRIM(C259))</f>
        <v>Pooja</v>
      </c>
      <c r="E259" s="2" t="s">
        <v>26</v>
      </c>
      <c r="F259" s="2" t="str">
        <f t="shared" ref="F259:F301" si="63">TRIM(UPPER(E259))</f>
        <v>HR</v>
      </c>
      <c r="G259" s="6" t="s">
        <v>813</v>
      </c>
      <c r="H259" s="8">
        <f t="shared" ref="H259:H301" si="64">DATEVALUE(G259)</f>
        <v>43661</v>
      </c>
      <c r="I259" s="2" t="s">
        <v>708</v>
      </c>
      <c r="J259" s="3">
        <f t="shared" ref="J259:J301" ca="1" si="65">IF(I259="",TODAY(),DATEVALUE(I259))</f>
        <v>43821</v>
      </c>
      <c r="K259" s="2">
        <v>9545536550</v>
      </c>
      <c r="L259" s="2">
        <f t="shared" ref="L259:L301" si="66">VALUE(K259)</f>
        <v>9545536550</v>
      </c>
      <c r="M259" s="2" t="s">
        <v>36</v>
      </c>
      <c r="N259" s="2" t="str">
        <f t="shared" ref="N259:N301" si="67">TRIM(LOWER(M259))</f>
        <v>neha@company.com</v>
      </c>
      <c r="O259" s="12">
        <v>29315</v>
      </c>
      <c r="P259" s="2" t="str">
        <f t="shared" si="56"/>
        <v>20K-40K</v>
      </c>
      <c r="Q259" s="2"/>
      <c r="R259" s="2" t="s">
        <v>75</v>
      </c>
      <c r="S259" s="2" t="str">
        <f t="shared" si="57"/>
        <v>M12</v>
      </c>
      <c r="T259" s="2" t="s">
        <v>37</v>
      </c>
      <c r="U259" s="2" t="str">
        <f t="shared" ref="U259:U301" si="68">TRIM(UPPER(T259))</f>
        <v>ACTIVE</v>
      </c>
      <c r="V259" s="2">
        <f t="shared" ca="1" si="58"/>
        <v>160</v>
      </c>
      <c r="W259" s="2">
        <f t="shared" ca="1" si="59"/>
        <v>5</v>
      </c>
      <c r="X259" s="2">
        <f t="shared" ca="1" si="60"/>
        <v>0</v>
      </c>
      <c r="Y259" s="2"/>
      <c r="Z259" s="2"/>
      <c r="AA259" s="2" t="str">
        <f t="shared" ref="AA259:AA301" ca="1" si="69">IF(AND(O259&gt;80000,X259&lt;2),"CHECK","OK")</f>
        <v>OK</v>
      </c>
    </row>
    <row r="260" spans="1:27" x14ac:dyDescent="0.3">
      <c r="A260" s="2" t="s">
        <v>814</v>
      </c>
      <c r="B260" s="2" t="str">
        <f t="shared" si="61"/>
        <v>EMP259</v>
      </c>
      <c r="C260" s="2" t="s">
        <v>39</v>
      </c>
      <c r="D260" s="2" t="str">
        <f t="shared" si="62"/>
        <v>Amit</v>
      </c>
      <c r="E260" s="2" t="s">
        <v>12</v>
      </c>
      <c r="F260" s="2" t="str">
        <f t="shared" si="63"/>
        <v>IT</v>
      </c>
      <c r="G260" s="6" t="s">
        <v>815</v>
      </c>
      <c r="H260" s="8">
        <f t="shared" si="64"/>
        <v>43573</v>
      </c>
      <c r="I260" s="2"/>
      <c r="J260" s="3">
        <f t="shared" ca="1" si="65"/>
        <v>46024</v>
      </c>
      <c r="K260" s="2">
        <v>9219444430</v>
      </c>
      <c r="L260" s="2">
        <f t="shared" si="66"/>
        <v>9219444430</v>
      </c>
      <c r="M260" s="2" t="s">
        <v>43</v>
      </c>
      <c r="N260" s="2" t="str">
        <f t="shared" si="67"/>
        <v>ravi@company.com</v>
      </c>
      <c r="O260" s="12">
        <v>57459</v>
      </c>
      <c r="P260" s="2" t="str">
        <f t="shared" si="56"/>
        <v>40K-60K</v>
      </c>
      <c r="Q260" s="2"/>
      <c r="R260" s="2" t="s">
        <v>212</v>
      </c>
      <c r="S260" s="2" t="str">
        <f t="shared" si="57"/>
        <v>M18</v>
      </c>
      <c r="T260" s="2" t="s">
        <v>149</v>
      </c>
      <c r="U260" s="2" t="str">
        <f t="shared" si="68"/>
        <v>ACTIVE</v>
      </c>
      <c r="V260" s="2">
        <f t="shared" ca="1" si="58"/>
        <v>2451</v>
      </c>
      <c r="W260" s="2">
        <f t="shared" ca="1" si="59"/>
        <v>80</v>
      </c>
      <c r="X260" s="2">
        <f t="shared" ca="1" si="60"/>
        <v>6</v>
      </c>
      <c r="Y260" s="2"/>
      <c r="Z260" s="2"/>
      <c r="AA260" s="2" t="str">
        <f t="shared" ca="1" si="69"/>
        <v>OK</v>
      </c>
    </row>
    <row r="261" spans="1:27" x14ac:dyDescent="0.3">
      <c r="A261" s="2" t="s">
        <v>816</v>
      </c>
      <c r="B261" s="2" t="str">
        <f t="shared" si="61"/>
        <v>EMP260</v>
      </c>
      <c r="C261" s="2" t="s">
        <v>115</v>
      </c>
      <c r="D261" s="2" t="str">
        <f t="shared" si="62"/>
        <v>Rahul</v>
      </c>
      <c r="E261" s="2" t="s">
        <v>129</v>
      </c>
      <c r="F261" s="2" t="str">
        <f t="shared" si="63"/>
        <v>SALES</v>
      </c>
      <c r="G261" s="6" t="s">
        <v>817</v>
      </c>
      <c r="H261" s="8">
        <f t="shared" si="64"/>
        <v>44130</v>
      </c>
      <c r="I261" s="2" t="s">
        <v>818</v>
      </c>
      <c r="J261" s="3">
        <f t="shared" ca="1" si="65"/>
        <v>44552</v>
      </c>
      <c r="K261" s="2">
        <v>9547907506</v>
      </c>
      <c r="L261" s="2">
        <f t="shared" si="66"/>
        <v>9547907506</v>
      </c>
      <c r="M261" s="2" t="s">
        <v>15</v>
      </c>
      <c r="N261" s="2" t="str">
        <f t="shared" si="67"/>
        <v>amit@company.com</v>
      </c>
      <c r="O261" s="12">
        <v>14704</v>
      </c>
      <c r="P261" s="2" t="str">
        <f t="shared" si="56"/>
        <v>Below 20K</v>
      </c>
      <c r="Q261" s="2"/>
      <c r="R261" s="2" t="s">
        <v>358</v>
      </c>
      <c r="S261" s="2" t="str">
        <f t="shared" si="57"/>
        <v>M1</v>
      </c>
      <c r="T261" s="2" t="s">
        <v>37</v>
      </c>
      <c r="U261" s="2" t="str">
        <f t="shared" si="68"/>
        <v>ACTIVE</v>
      </c>
      <c r="V261" s="2">
        <f t="shared" ca="1" si="58"/>
        <v>422</v>
      </c>
      <c r="W261" s="2">
        <f t="shared" ca="1" si="59"/>
        <v>13</v>
      </c>
      <c r="X261" s="2">
        <f t="shared" ca="1" si="60"/>
        <v>1</v>
      </c>
      <c r="Y261" s="2"/>
      <c r="Z261" s="2"/>
      <c r="AA261" s="2" t="str">
        <f t="shared" ca="1" si="69"/>
        <v>OK</v>
      </c>
    </row>
    <row r="262" spans="1:27" x14ac:dyDescent="0.3">
      <c r="A262" s="2" t="s">
        <v>819</v>
      </c>
      <c r="B262" s="2" t="str">
        <f t="shared" si="61"/>
        <v>EMP261</v>
      </c>
      <c r="C262" s="2" t="s">
        <v>63</v>
      </c>
      <c r="D262" s="2" t="str">
        <f t="shared" si="62"/>
        <v>Pooja</v>
      </c>
      <c r="E262" s="2" t="s">
        <v>19</v>
      </c>
      <c r="F262" s="2" t="str">
        <f t="shared" si="63"/>
        <v>FINANCE</v>
      </c>
      <c r="G262" s="6" t="s">
        <v>820</v>
      </c>
      <c r="H262" s="8">
        <f t="shared" si="64"/>
        <v>43535</v>
      </c>
      <c r="I262" s="2" t="s">
        <v>821</v>
      </c>
      <c r="J262" s="3">
        <f t="shared" ca="1" si="65"/>
        <v>43720</v>
      </c>
      <c r="K262" s="2">
        <v>9243459412</v>
      </c>
      <c r="L262" s="2">
        <f t="shared" si="66"/>
        <v>9243459412</v>
      </c>
      <c r="M262" s="2" t="s">
        <v>51</v>
      </c>
      <c r="N262" s="2" t="str">
        <f t="shared" si="67"/>
        <v>kiran@company.com</v>
      </c>
      <c r="O262" s="12">
        <v>65760</v>
      </c>
      <c r="P262" s="2" t="str">
        <f t="shared" si="56"/>
        <v>60K-80K</v>
      </c>
      <c r="Q262" s="2"/>
      <c r="R262" s="2" t="s">
        <v>228</v>
      </c>
      <c r="S262" s="2" t="str">
        <f t="shared" si="57"/>
        <v>M15</v>
      </c>
      <c r="T262" s="2" t="s">
        <v>149</v>
      </c>
      <c r="U262" s="2" t="str">
        <f t="shared" si="68"/>
        <v>ACTIVE</v>
      </c>
      <c r="V262" s="2">
        <f t="shared" ca="1" si="58"/>
        <v>185</v>
      </c>
      <c r="W262" s="2">
        <f t="shared" ca="1" si="59"/>
        <v>6</v>
      </c>
      <c r="X262" s="2">
        <f t="shared" ca="1" si="60"/>
        <v>0</v>
      </c>
      <c r="Y262" s="2"/>
      <c r="Z262" s="2"/>
      <c r="AA262" s="2" t="str">
        <f t="shared" ca="1" si="69"/>
        <v>OK</v>
      </c>
    </row>
    <row r="263" spans="1:27" x14ac:dyDescent="0.3">
      <c r="A263" s="2" t="s">
        <v>822</v>
      </c>
      <c r="B263" s="2" t="str">
        <f t="shared" si="61"/>
        <v>EMP262</v>
      </c>
      <c r="C263" s="2" t="s">
        <v>161</v>
      </c>
      <c r="D263" s="2" t="str">
        <f t="shared" si="62"/>
        <v>Kiran</v>
      </c>
      <c r="E263" s="2" t="s">
        <v>57</v>
      </c>
      <c r="F263" s="2" t="str">
        <f t="shared" si="63"/>
        <v>HR</v>
      </c>
      <c r="G263" s="6" t="s">
        <v>670</v>
      </c>
      <c r="H263" s="8">
        <f t="shared" si="64"/>
        <v>44982</v>
      </c>
      <c r="I263" s="2" t="s">
        <v>823</v>
      </c>
      <c r="J263" s="3">
        <f t="shared" ca="1" si="65"/>
        <v>45153</v>
      </c>
      <c r="K263" s="2">
        <v>9170357493</v>
      </c>
      <c r="L263" s="2">
        <f t="shared" si="66"/>
        <v>9170357493</v>
      </c>
      <c r="M263" s="2" t="s">
        <v>107</v>
      </c>
      <c r="N263" s="2" t="str">
        <f t="shared" si="67"/>
        <v>vikas@company.com</v>
      </c>
      <c r="O263" s="12">
        <v>24502</v>
      </c>
      <c r="P263" s="2" t="str">
        <f t="shared" si="56"/>
        <v>20K-40K</v>
      </c>
      <c r="Q263" s="2"/>
      <c r="R263" s="2" t="s">
        <v>156</v>
      </c>
      <c r="S263" s="2" t="str">
        <f t="shared" si="57"/>
        <v>M6</v>
      </c>
      <c r="T263" s="2" t="s">
        <v>37</v>
      </c>
      <c r="U263" s="2" t="str">
        <f t="shared" si="68"/>
        <v>ACTIVE</v>
      </c>
      <c r="V263" s="2">
        <f t="shared" ca="1" si="58"/>
        <v>171</v>
      </c>
      <c r="W263" s="2">
        <f t="shared" ca="1" si="59"/>
        <v>5</v>
      </c>
      <c r="X263" s="2">
        <f t="shared" ca="1" si="60"/>
        <v>0</v>
      </c>
      <c r="Y263" s="2"/>
      <c r="Z263" s="2"/>
      <c r="AA263" s="2" t="str">
        <f t="shared" ca="1" si="69"/>
        <v>OK</v>
      </c>
    </row>
    <row r="264" spans="1:27" x14ac:dyDescent="0.3">
      <c r="A264" s="2" t="s">
        <v>824</v>
      </c>
      <c r="B264" s="2" t="str">
        <f t="shared" si="61"/>
        <v>EMP263</v>
      </c>
      <c r="C264" s="2" t="s">
        <v>39</v>
      </c>
      <c r="D264" s="2" t="str">
        <f t="shared" si="62"/>
        <v>Amit</v>
      </c>
      <c r="E264" s="2" t="s">
        <v>12</v>
      </c>
      <c r="F264" s="2" t="str">
        <f t="shared" si="63"/>
        <v>IT</v>
      </c>
      <c r="G264" s="6" t="s">
        <v>825</v>
      </c>
      <c r="H264" s="8">
        <f t="shared" si="64"/>
        <v>44592</v>
      </c>
      <c r="I264" s="2" t="s">
        <v>826</v>
      </c>
      <c r="J264" s="3">
        <f t="shared" ca="1" si="65"/>
        <v>45405</v>
      </c>
      <c r="K264" s="2">
        <v>9659112338</v>
      </c>
      <c r="L264" s="2">
        <f t="shared" si="66"/>
        <v>9659112338</v>
      </c>
      <c r="M264" s="2" t="s">
        <v>70</v>
      </c>
      <c r="N264" s="2" t="str">
        <f t="shared" si="67"/>
        <v>sunita@company.com</v>
      </c>
      <c r="O264" s="12">
        <v>46127</v>
      </c>
      <c r="P264" s="2" t="str">
        <f t="shared" si="56"/>
        <v>40K-60K</v>
      </c>
      <c r="Q264" s="2"/>
      <c r="R264" s="2" t="s">
        <v>71</v>
      </c>
      <c r="S264" s="2" t="str">
        <f t="shared" si="57"/>
        <v>M14</v>
      </c>
      <c r="T264" s="2" t="s">
        <v>37</v>
      </c>
      <c r="U264" s="2" t="str">
        <f t="shared" si="68"/>
        <v>ACTIVE</v>
      </c>
      <c r="V264" s="2">
        <f t="shared" ca="1" si="58"/>
        <v>813</v>
      </c>
      <c r="W264" s="2">
        <f t="shared" ca="1" si="59"/>
        <v>26</v>
      </c>
      <c r="X264" s="2">
        <f t="shared" ca="1" si="60"/>
        <v>2</v>
      </c>
      <c r="Y264" s="2"/>
      <c r="Z264" s="2"/>
      <c r="AA264" s="2" t="str">
        <f t="shared" ca="1" si="69"/>
        <v>OK</v>
      </c>
    </row>
    <row r="265" spans="1:27" x14ac:dyDescent="0.3">
      <c r="A265" s="2" t="s">
        <v>827</v>
      </c>
      <c r="B265" s="2" t="str">
        <f t="shared" si="61"/>
        <v>EMP264</v>
      </c>
      <c r="C265" s="2" t="s">
        <v>104</v>
      </c>
      <c r="D265" s="2" t="str">
        <f t="shared" si="62"/>
        <v>Vikas</v>
      </c>
      <c r="E265" s="2" t="s">
        <v>33</v>
      </c>
      <c r="F265" s="2" t="str">
        <f t="shared" si="63"/>
        <v>IT</v>
      </c>
      <c r="G265" s="6" t="s">
        <v>828</v>
      </c>
      <c r="H265" s="8">
        <f t="shared" si="64"/>
        <v>43863</v>
      </c>
      <c r="I265" s="2" t="s">
        <v>829</v>
      </c>
      <c r="J265" s="3">
        <f t="shared" ca="1" si="65"/>
        <v>44404</v>
      </c>
      <c r="K265" s="2">
        <v>9547323453</v>
      </c>
      <c r="L265" s="2">
        <f t="shared" si="66"/>
        <v>9547323453</v>
      </c>
      <c r="M265" s="2" t="s">
        <v>126</v>
      </c>
      <c r="N265" s="2" t="str">
        <f t="shared" si="67"/>
        <v>neha@gmail.com</v>
      </c>
      <c r="O265" s="12">
        <v>65378</v>
      </c>
      <c r="P265" s="2" t="str">
        <f t="shared" si="56"/>
        <v>60K-80K</v>
      </c>
      <c r="Q265" s="2"/>
      <c r="R265" s="2" t="s">
        <v>79</v>
      </c>
      <c r="S265" s="2" t="str">
        <f t="shared" si="57"/>
        <v>M20</v>
      </c>
      <c r="T265" s="2" t="s">
        <v>17</v>
      </c>
      <c r="U265" s="2" t="str">
        <f t="shared" si="68"/>
        <v>RESIGNED</v>
      </c>
      <c r="V265" s="2">
        <f t="shared" ca="1" si="58"/>
        <v>541</v>
      </c>
      <c r="W265" s="2">
        <f t="shared" ca="1" si="59"/>
        <v>17</v>
      </c>
      <c r="X265" s="2">
        <f t="shared" ca="1" si="60"/>
        <v>1</v>
      </c>
      <c r="Y265" s="2"/>
      <c r="Z265" s="2"/>
      <c r="AA265" s="2" t="str">
        <f t="shared" ca="1" si="69"/>
        <v>OK</v>
      </c>
    </row>
    <row r="266" spans="1:27" x14ac:dyDescent="0.3">
      <c r="A266" s="2" t="s">
        <v>830</v>
      </c>
      <c r="B266" s="2" t="str">
        <f t="shared" si="61"/>
        <v>EMP265</v>
      </c>
      <c r="C266" s="2" t="s">
        <v>161</v>
      </c>
      <c r="D266" s="2" t="str">
        <f t="shared" si="62"/>
        <v>Kiran</v>
      </c>
      <c r="E266" s="2" t="s">
        <v>40</v>
      </c>
      <c r="F266" s="2" t="str">
        <f t="shared" si="63"/>
        <v>SALES</v>
      </c>
      <c r="G266" s="6" t="s">
        <v>831</v>
      </c>
      <c r="H266" s="8">
        <f t="shared" si="64"/>
        <v>44985</v>
      </c>
      <c r="I266" s="2" t="s">
        <v>832</v>
      </c>
      <c r="J266" s="3">
        <f t="shared" ca="1" si="65"/>
        <v>45387</v>
      </c>
      <c r="K266" s="2">
        <v>9398242601</v>
      </c>
      <c r="L266" s="2">
        <f t="shared" si="66"/>
        <v>9398242601</v>
      </c>
      <c r="M266" s="2" t="s">
        <v>118</v>
      </c>
      <c r="N266" s="2" t="str">
        <f t="shared" si="67"/>
        <v>rahul@company.com</v>
      </c>
      <c r="O266" s="12">
        <v>38396</v>
      </c>
      <c r="P266" s="2" t="str">
        <f t="shared" si="56"/>
        <v>20K-40K</v>
      </c>
      <c r="Q266" s="2"/>
      <c r="R266" s="2" t="s">
        <v>127</v>
      </c>
      <c r="S266" s="2" t="str">
        <f t="shared" si="57"/>
        <v>M19</v>
      </c>
      <c r="T266" s="2" t="s">
        <v>17</v>
      </c>
      <c r="U266" s="2" t="str">
        <f t="shared" si="68"/>
        <v>RESIGNED</v>
      </c>
      <c r="V266" s="2">
        <f t="shared" ca="1" si="58"/>
        <v>402</v>
      </c>
      <c r="W266" s="2">
        <f t="shared" ca="1" si="59"/>
        <v>13</v>
      </c>
      <c r="X266" s="2">
        <f t="shared" ca="1" si="60"/>
        <v>1</v>
      </c>
      <c r="Y266" s="2"/>
      <c r="Z266" s="2"/>
      <c r="AA266" s="2" t="str">
        <f t="shared" ca="1" si="69"/>
        <v>OK</v>
      </c>
    </row>
    <row r="267" spans="1:27" x14ac:dyDescent="0.3">
      <c r="A267" s="2" t="s">
        <v>833</v>
      </c>
      <c r="B267" s="2" t="str">
        <f t="shared" si="61"/>
        <v>EMP266</v>
      </c>
      <c r="C267" s="2" t="s">
        <v>115</v>
      </c>
      <c r="D267" s="2" t="str">
        <f t="shared" si="62"/>
        <v>Rahul</v>
      </c>
      <c r="E267" s="2" t="s">
        <v>19</v>
      </c>
      <c r="F267" s="2" t="str">
        <f t="shared" si="63"/>
        <v>FINANCE</v>
      </c>
      <c r="G267" s="6" t="s">
        <v>834</v>
      </c>
      <c r="H267" s="8">
        <f t="shared" si="64"/>
        <v>45264</v>
      </c>
      <c r="I267" s="2"/>
      <c r="J267" s="3">
        <f t="shared" ca="1" si="65"/>
        <v>46024</v>
      </c>
      <c r="K267" s="2">
        <v>9144572697</v>
      </c>
      <c r="L267" s="2">
        <f t="shared" si="66"/>
        <v>9144572697</v>
      </c>
      <c r="M267" s="2" t="s">
        <v>51</v>
      </c>
      <c r="N267" s="2" t="str">
        <f t="shared" si="67"/>
        <v>kiran@company.com</v>
      </c>
      <c r="O267" s="12">
        <v>29881</v>
      </c>
      <c r="P267" s="2" t="str">
        <f t="shared" si="56"/>
        <v>20K-40K</v>
      </c>
      <c r="Q267" s="2"/>
      <c r="R267" s="2" t="s">
        <v>85</v>
      </c>
      <c r="S267" s="2" t="str">
        <f t="shared" si="57"/>
        <v>M24</v>
      </c>
      <c r="T267" s="2" t="s">
        <v>45</v>
      </c>
      <c r="U267" s="2" t="str">
        <f t="shared" si="68"/>
        <v>RESIGNED</v>
      </c>
      <c r="V267" s="2">
        <f t="shared" ca="1" si="58"/>
        <v>760</v>
      </c>
      <c r="W267" s="2">
        <f t="shared" ca="1" si="59"/>
        <v>24</v>
      </c>
      <c r="X267" s="2">
        <f t="shared" ca="1" si="60"/>
        <v>2</v>
      </c>
      <c r="Y267" s="2"/>
      <c r="Z267" s="2"/>
      <c r="AA267" s="2" t="str">
        <f t="shared" ca="1" si="69"/>
        <v>OK</v>
      </c>
    </row>
    <row r="268" spans="1:27" x14ac:dyDescent="0.3">
      <c r="A268" s="2" t="s">
        <v>835</v>
      </c>
      <c r="B268" s="2" t="str">
        <f t="shared" si="61"/>
        <v>EMP267</v>
      </c>
      <c r="C268" s="2" t="s">
        <v>11</v>
      </c>
      <c r="D268" s="2" t="str">
        <f t="shared" si="62"/>
        <v>Ravi</v>
      </c>
      <c r="E268" s="2" t="s">
        <v>19</v>
      </c>
      <c r="F268" s="2" t="str">
        <f t="shared" si="63"/>
        <v>FINANCE</v>
      </c>
      <c r="G268" s="6" t="s">
        <v>836</v>
      </c>
      <c r="H268" s="8">
        <f t="shared" si="64"/>
        <v>43721</v>
      </c>
      <c r="I268" s="2" t="s">
        <v>837</v>
      </c>
      <c r="J268" s="3">
        <f t="shared" ca="1" si="65"/>
        <v>45075</v>
      </c>
      <c r="K268" s="2">
        <v>9256992818</v>
      </c>
      <c r="L268" s="2">
        <f t="shared" si="66"/>
        <v>9256992818</v>
      </c>
      <c r="M268" s="2" t="s">
        <v>43</v>
      </c>
      <c r="N268" s="2" t="str">
        <f t="shared" si="67"/>
        <v>ravi@company.com</v>
      </c>
      <c r="O268" s="12">
        <v>78364</v>
      </c>
      <c r="P268" s="2" t="str">
        <f t="shared" si="56"/>
        <v>60K-80K</v>
      </c>
      <c r="Q268" s="2"/>
      <c r="R268" s="2" t="s">
        <v>242</v>
      </c>
      <c r="S268" s="2" t="str">
        <f t="shared" si="57"/>
        <v>M17</v>
      </c>
      <c r="T268" s="2" t="s">
        <v>31</v>
      </c>
      <c r="U268" s="2" t="str">
        <f t="shared" si="68"/>
        <v>ON HOLD</v>
      </c>
      <c r="V268" s="2">
        <f t="shared" ca="1" si="58"/>
        <v>1354</v>
      </c>
      <c r="W268" s="2">
        <f t="shared" ca="1" si="59"/>
        <v>44</v>
      </c>
      <c r="X268" s="2">
        <f t="shared" ca="1" si="60"/>
        <v>3</v>
      </c>
      <c r="Y268" s="2"/>
      <c r="Z268" s="2"/>
      <c r="AA268" s="2" t="str">
        <f t="shared" ca="1" si="69"/>
        <v>OK</v>
      </c>
    </row>
    <row r="269" spans="1:27" x14ac:dyDescent="0.3">
      <c r="A269" s="2" t="s">
        <v>838</v>
      </c>
      <c r="B269" s="2" t="str">
        <f t="shared" si="61"/>
        <v>EMP268</v>
      </c>
      <c r="C269" s="2" t="s">
        <v>47</v>
      </c>
      <c r="D269" s="2" t="str">
        <f t="shared" si="62"/>
        <v>Sunita</v>
      </c>
      <c r="E269" s="2" t="s">
        <v>48</v>
      </c>
      <c r="F269" s="2" t="str">
        <f t="shared" si="63"/>
        <v>FINANCE</v>
      </c>
      <c r="G269" s="6" t="s">
        <v>769</v>
      </c>
      <c r="H269" s="8">
        <f t="shared" si="64"/>
        <v>43577</v>
      </c>
      <c r="I269" s="2" t="s">
        <v>839</v>
      </c>
      <c r="J269" s="3">
        <f t="shared" ca="1" si="65"/>
        <v>44089</v>
      </c>
      <c r="K269" s="2">
        <v>9519641627</v>
      </c>
      <c r="L269" s="2">
        <f t="shared" si="66"/>
        <v>9519641627</v>
      </c>
      <c r="M269" s="2" t="s">
        <v>43</v>
      </c>
      <c r="N269" s="2" t="str">
        <f t="shared" si="67"/>
        <v>ravi@company.com</v>
      </c>
      <c r="O269" s="12">
        <v>61424</v>
      </c>
      <c r="P269" s="2" t="str">
        <f t="shared" si="56"/>
        <v>60K-80K</v>
      </c>
      <c r="Q269" s="2"/>
      <c r="R269" s="2" t="s">
        <v>108</v>
      </c>
      <c r="S269" s="2" t="str">
        <f t="shared" si="57"/>
        <v>M10</v>
      </c>
      <c r="T269" s="2" t="s">
        <v>31</v>
      </c>
      <c r="U269" s="2" t="str">
        <f t="shared" si="68"/>
        <v>ON HOLD</v>
      </c>
      <c r="V269" s="2">
        <f t="shared" ca="1" si="58"/>
        <v>512</v>
      </c>
      <c r="W269" s="2">
        <f t="shared" ca="1" si="59"/>
        <v>16</v>
      </c>
      <c r="X269" s="2">
        <f t="shared" ca="1" si="60"/>
        <v>1</v>
      </c>
      <c r="Y269" s="2"/>
      <c r="Z269" s="2"/>
      <c r="AA269" s="2" t="str">
        <f t="shared" ca="1" si="69"/>
        <v>OK</v>
      </c>
    </row>
    <row r="270" spans="1:27" x14ac:dyDescent="0.3">
      <c r="A270" s="2" t="s">
        <v>840</v>
      </c>
      <c r="B270" s="2" t="str">
        <f t="shared" si="61"/>
        <v>EMP269</v>
      </c>
      <c r="C270" s="2" t="s">
        <v>11</v>
      </c>
      <c r="D270" s="2" t="str">
        <f t="shared" si="62"/>
        <v>Ravi</v>
      </c>
      <c r="E270" s="2" t="s">
        <v>48</v>
      </c>
      <c r="F270" s="2" t="str">
        <f t="shared" si="63"/>
        <v>FINANCE</v>
      </c>
      <c r="G270" s="6" t="s">
        <v>841</v>
      </c>
      <c r="H270" s="8">
        <f t="shared" si="64"/>
        <v>45147</v>
      </c>
      <c r="I270" s="2" t="s">
        <v>842</v>
      </c>
      <c r="J270" s="3">
        <f t="shared" ca="1" si="65"/>
        <v>46133</v>
      </c>
      <c r="K270" s="2">
        <v>9487720969</v>
      </c>
      <c r="L270" s="2">
        <f t="shared" si="66"/>
        <v>9487720969</v>
      </c>
      <c r="M270" s="2" t="s">
        <v>51</v>
      </c>
      <c r="N270" s="2" t="str">
        <f t="shared" si="67"/>
        <v>kiran@company.com</v>
      </c>
      <c r="O270" s="12">
        <v>30597</v>
      </c>
      <c r="P270" s="2" t="str">
        <f t="shared" si="56"/>
        <v>20K-40K</v>
      </c>
      <c r="Q270" s="2"/>
      <c r="R270" s="2" t="s">
        <v>16</v>
      </c>
      <c r="S270" s="2" t="str">
        <f t="shared" si="57"/>
        <v>M4</v>
      </c>
      <c r="T270" s="2" t="s">
        <v>45</v>
      </c>
      <c r="U270" s="2" t="str">
        <f t="shared" si="68"/>
        <v>RESIGNED</v>
      </c>
      <c r="V270" s="2">
        <f t="shared" ca="1" si="58"/>
        <v>986</v>
      </c>
      <c r="W270" s="2">
        <f t="shared" ca="1" si="59"/>
        <v>32</v>
      </c>
      <c r="X270" s="2">
        <f t="shared" ca="1" si="60"/>
        <v>2</v>
      </c>
      <c r="Y270" s="2"/>
      <c r="Z270" s="2"/>
      <c r="AA270" s="2" t="str">
        <f t="shared" ca="1" si="69"/>
        <v>OK</v>
      </c>
    </row>
    <row r="271" spans="1:27" x14ac:dyDescent="0.3">
      <c r="A271" s="2" t="s">
        <v>843</v>
      </c>
      <c r="B271" s="2" t="str">
        <f t="shared" si="61"/>
        <v>EMP270</v>
      </c>
      <c r="C271" s="2" t="s">
        <v>39</v>
      </c>
      <c r="D271" s="2" t="str">
        <f t="shared" si="62"/>
        <v>Amit</v>
      </c>
      <c r="E271" s="2" t="s">
        <v>12</v>
      </c>
      <c r="F271" s="2" t="str">
        <f t="shared" si="63"/>
        <v>IT</v>
      </c>
      <c r="G271" s="6" t="s">
        <v>844</v>
      </c>
      <c r="H271" s="8">
        <f t="shared" si="64"/>
        <v>43722</v>
      </c>
      <c r="I271" s="2" t="s">
        <v>326</v>
      </c>
      <c r="J271" s="3">
        <f t="shared" ca="1" si="65"/>
        <v>43783</v>
      </c>
      <c r="K271" s="2">
        <v>9803488137</v>
      </c>
      <c r="L271" s="2">
        <f t="shared" si="66"/>
        <v>9803488137</v>
      </c>
      <c r="M271" s="2" t="s">
        <v>15</v>
      </c>
      <c r="N271" s="2" t="str">
        <f t="shared" si="67"/>
        <v>amit@company.com</v>
      </c>
      <c r="O271" s="12">
        <v>87059</v>
      </c>
      <c r="P271" s="2" t="str">
        <f t="shared" si="56"/>
        <v>Above 80K</v>
      </c>
      <c r="Q271" s="2"/>
      <c r="R271" s="2" t="s">
        <v>747</v>
      </c>
      <c r="S271" s="2" t="str">
        <f t="shared" si="57"/>
        <v>M1</v>
      </c>
      <c r="T271" s="2" t="s">
        <v>17</v>
      </c>
      <c r="U271" s="2" t="str">
        <f t="shared" si="68"/>
        <v>RESIGNED</v>
      </c>
      <c r="V271" s="2">
        <f t="shared" ca="1" si="58"/>
        <v>61</v>
      </c>
      <c r="W271" s="2">
        <f t="shared" ca="1" si="59"/>
        <v>2</v>
      </c>
      <c r="X271" s="2">
        <f t="shared" ca="1" si="60"/>
        <v>0</v>
      </c>
      <c r="Y271" s="2"/>
      <c r="Z271" s="2"/>
      <c r="AA271" s="2" t="str">
        <f t="shared" ca="1" si="69"/>
        <v>CHECK</v>
      </c>
    </row>
    <row r="272" spans="1:27" x14ac:dyDescent="0.3">
      <c r="A272" s="2" t="s">
        <v>845</v>
      </c>
      <c r="B272" s="2" t="str">
        <f t="shared" si="61"/>
        <v>EMP271</v>
      </c>
      <c r="C272" s="2" t="s">
        <v>25</v>
      </c>
      <c r="D272" s="2" t="str">
        <f t="shared" si="62"/>
        <v>Ankit</v>
      </c>
      <c r="E272" s="2" t="s">
        <v>48</v>
      </c>
      <c r="F272" s="2" t="str">
        <f t="shared" si="63"/>
        <v>FINANCE</v>
      </c>
      <c r="G272" s="6" t="s">
        <v>846</v>
      </c>
      <c r="H272" s="8">
        <f t="shared" si="64"/>
        <v>43989</v>
      </c>
      <c r="I272" s="2" t="s">
        <v>847</v>
      </c>
      <c r="J272" s="3">
        <f t="shared" ca="1" si="65"/>
        <v>45357</v>
      </c>
      <c r="K272" s="2">
        <v>9782240471</v>
      </c>
      <c r="L272" s="2">
        <f t="shared" si="66"/>
        <v>9782240471</v>
      </c>
      <c r="M272" s="2" t="s">
        <v>36</v>
      </c>
      <c r="N272" s="2" t="str">
        <f t="shared" si="67"/>
        <v>neha@company.com</v>
      </c>
      <c r="O272" s="12">
        <v>59526</v>
      </c>
      <c r="P272" s="2" t="str">
        <f t="shared" si="56"/>
        <v>40K-60K</v>
      </c>
      <c r="Q272" s="2"/>
      <c r="R272" s="2" t="s">
        <v>52</v>
      </c>
      <c r="S272" s="2" t="str">
        <f t="shared" si="57"/>
        <v>M16</v>
      </c>
      <c r="T272" s="2" t="s">
        <v>31</v>
      </c>
      <c r="U272" s="2" t="str">
        <f t="shared" si="68"/>
        <v>ON HOLD</v>
      </c>
      <c r="V272" s="2">
        <f t="shared" ca="1" si="58"/>
        <v>1368</v>
      </c>
      <c r="W272" s="2">
        <f t="shared" ca="1" si="59"/>
        <v>44</v>
      </c>
      <c r="X272" s="2">
        <f t="shared" ca="1" si="60"/>
        <v>3</v>
      </c>
      <c r="Y272" s="2"/>
      <c r="Z272" s="2"/>
      <c r="AA272" s="2" t="str">
        <f t="shared" ca="1" si="69"/>
        <v>OK</v>
      </c>
    </row>
    <row r="273" spans="1:27" x14ac:dyDescent="0.3">
      <c r="A273" s="2" t="s">
        <v>848</v>
      </c>
      <c r="B273" s="2" t="str">
        <f t="shared" si="61"/>
        <v>EMP272</v>
      </c>
      <c r="C273" s="2" t="s">
        <v>161</v>
      </c>
      <c r="D273" s="2" t="str">
        <f t="shared" si="62"/>
        <v>Kiran</v>
      </c>
      <c r="E273" s="2" t="s">
        <v>40</v>
      </c>
      <c r="F273" s="2" t="str">
        <f t="shared" si="63"/>
        <v>SALES</v>
      </c>
      <c r="G273" s="6" t="s">
        <v>849</v>
      </c>
      <c r="H273" s="8">
        <f t="shared" si="64"/>
        <v>43934</v>
      </c>
      <c r="I273" s="2" t="s">
        <v>850</v>
      </c>
      <c r="J273" s="3">
        <f t="shared" ca="1" si="65"/>
        <v>44165</v>
      </c>
      <c r="K273" s="2">
        <v>9533952020</v>
      </c>
      <c r="L273" s="2">
        <f t="shared" si="66"/>
        <v>9533952020</v>
      </c>
      <c r="M273" s="2" t="s">
        <v>209</v>
      </c>
      <c r="N273" s="2" t="str">
        <f t="shared" si="67"/>
        <v>sunita@gmail.com</v>
      </c>
      <c r="O273" s="12">
        <v>15022</v>
      </c>
      <c r="P273" s="2" t="str">
        <f t="shared" si="56"/>
        <v>Below 20K</v>
      </c>
      <c r="Q273" s="2"/>
      <c r="R273" s="2" t="s">
        <v>79</v>
      </c>
      <c r="S273" s="2" t="str">
        <f t="shared" si="57"/>
        <v>M20</v>
      </c>
      <c r="T273" s="2" t="s">
        <v>37</v>
      </c>
      <c r="U273" s="2" t="str">
        <f t="shared" si="68"/>
        <v>ACTIVE</v>
      </c>
      <c r="V273" s="2">
        <f t="shared" ca="1" si="58"/>
        <v>231</v>
      </c>
      <c r="W273" s="2">
        <f t="shared" ca="1" si="59"/>
        <v>7</v>
      </c>
      <c r="X273" s="2">
        <f t="shared" ca="1" si="60"/>
        <v>0</v>
      </c>
      <c r="Y273" s="2"/>
      <c r="Z273" s="2"/>
      <c r="AA273" s="2" t="str">
        <f t="shared" ca="1" si="69"/>
        <v>OK</v>
      </c>
    </row>
    <row r="274" spans="1:27" x14ac:dyDescent="0.3">
      <c r="A274" s="2" t="s">
        <v>851</v>
      </c>
      <c r="B274" s="2" t="str">
        <f t="shared" si="61"/>
        <v>EMP273</v>
      </c>
      <c r="C274" s="2" t="s">
        <v>96</v>
      </c>
      <c r="D274" s="2" t="str">
        <f t="shared" si="62"/>
        <v>Neha</v>
      </c>
      <c r="E274" s="2" t="s">
        <v>48</v>
      </c>
      <c r="F274" s="2" t="str">
        <f t="shared" si="63"/>
        <v>FINANCE</v>
      </c>
      <c r="G274" s="6" t="s">
        <v>413</v>
      </c>
      <c r="H274" s="8">
        <f t="shared" si="64"/>
        <v>44565</v>
      </c>
      <c r="I274" s="2"/>
      <c r="J274" s="3">
        <f t="shared" ca="1" si="65"/>
        <v>46024</v>
      </c>
      <c r="K274" s="2">
        <v>9587259041</v>
      </c>
      <c r="L274" s="2">
        <f t="shared" si="66"/>
        <v>9587259041</v>
      </c>
      <c r="M274" s="2" t="s">
        <v>15</v>
      </c>
      <c r="N274" s="2" t="str">
        <f t="shared" si="67"/>
        <v>amit@company.com</v>
      </c>
      <c r="O274" s="12">
        <v>91500</v>
      </c>
      <c r="P274" s="2" t="str">
        <f t="shared" si="56"/>
        <v>Above 80K</v>
      </c>
      <c r="Q274" s="2"/>
      <c r="R274" s="2" t="s">
        <v>358</v>
      </c>
      <c r="S274" s="2" t="str">
        <f t="shared" si="57"/>
        <v>M1</v>
      </c>
      <c r="T274" s="2" t="s">
        <v>17</v>
      </c>
      <c r="U274" s="2" t="str">
        <f t="shared" si="68"/>
        <v>RESIGNED</v>
      </c>
      <c r="V274" s="2">
        <f t="shared" ca="1" si="58"/>
        <v>1459</v>
      </c>
      <c r="W274" s="2">
        <f t="shared" ca="1" si="59"/>
        <v>47</v>
      </c>
      <c r="X274" s="2">
        <f t="shared" ca="1" si="60"/>
        <v>3</v>
      </c>
      <c r="Y274" s="2"/>
      <c r="Z274" s="2"/>
      <c r="AA274" s="2" t="str">
        <f t="shared" ca="1" si="69"/>
        <v>OK</v>
      </c>
    </row>
    <row r="275" spans="1:27" x14ac:dyDescent="0.3">
      <c r="A275" s="2" t="s">
        <v>852</v>
      </c>
      <c r="B275" s="2" t="str">
        <f t="shared" si="61"/>
        <v>EMP274</v>
      </c>
      <c r="C275" s="2" t="s">
        <v>63</v>
      </c>
      <c r="D275" s="2" t="str">
        <f t="shared" si="62"/>
        <v>Pooja</v>
      </c>
      <c r="E275" s="2" t="s">
        <v>12</v>
      </c>
      <c r="F275" s="2" t="str">
        <f t="shared" si="63"/>
        <v>IT</v>
      </c>
      <c r="G275" s="6" t="s">
        <v>853</v>
      </c>
      <c r="H275" s="8">
        <f t="shared" si="64"/>
        <v>44572</v>
      </c>
      <c r="I275" s="2" t="s">
        <v>854</v>
      </c>
      <c r="J275" s="3">
        <f t="shared" ca="1" si="65"/>
        <v>45723</v>
      </c>
      <c r="K275" s="2">
        <v>9745629981</v>
      </c>
      <c r="L275" s="2">
        <f t="shared" si="66"/>
        <v>9745629981</v>
      </c>
      <c r="M275" s="2" t="s">
        <v>43</v>
      </c>
      <c r="N275" s="2" t="str">
        <f t="shared" si="67"/>
        <v>ravi@company.com</v>
      </c>
      <c r="O275" s="12">
        <v>29517</v>
      </c>
      <c r="P275" s="2" t="str">
        <f t="shared" si="56"/>
        <v>20K-40K</v>
      </c>
      <c r="Q275" s="2"/>
      <c r="R275" s="2" t="s">
        <v>142</v>
      </c>
      <c r="S275" s="2" t="str">
        <f t="shared" si="57"/>
        <v>M23</v>
      </c>
      <c r="T275" s="2" t="s">
        <v>45</v>
      </c>
      <c r="U275" s="2" t="str">
        <f t="shared" si="68"/>
        <v>RESIGNED</v>
      </c>
      <c r="V275" s="2">
        <f t="shared" ca="1" si="58"/>
        <v>1151</v>
      </c>
      <c r="W275" s="2">
        <f t="shared" ca="1" si="59"/>
        <v>37</v>
      </c>
      <c r="X275" s="2">
        <f t="shared" ca="1" si="60"/>
        <v>3</v>
      </c>
      <c r="Y275" s="2"/>
      <c r="Z275" s="2"/>
      <c r="AA275" s="2" t="str">
        <f t="shared" ca="1" si="69"/>
        <v>OK</v>
      </c>
    </row>
    <row r="276" spans="1:27" x14ac:dyDescent="0.3">
      <c r="A276" s="2" t="s">
        <v>855</v>
      </c>
      <c r="B276" s="2" t="str">
        <f t="shared" si="61"/>
        <v>EMP275</v>
      </c>
      <c r="C276" s="2" t="s">
        <v>47</v>
      </c>
      <c r="D276" s="2" t="str">
        <f t="shared" si="62"/>
        <v>Sunita</v>
      </c>
      <c r="E276" s="2" t="s">
        <v>26</v>
      </c>
      <c r="F276" s="2" t="str">
        <f t="shared" si="63"/>
        <v>HR</v>
      </c>
      <c r="G276" s="6" t="s">
        <v>856</v>
      </c>
      <c r="H276" s="8">
        <f t="shared" si="64"/>
        <v>43996</v>
      </c>
      <c r="I276" s="2" t="s">
        <v>857</v>
      </c>
      <c r="J276" s="3">
        <f t="shared" ca="1" si="65"/>
        <v>45046</v>
      </c>
      <c r="K276" s="2">
        <v>9741467345</v>
      </c>
      <c r="L276" s="2">
        <f t="shared" si="66"/>
        <v>9741467345</v>
      </c>
      <c r="M276" s="2" t="s">
        <v>107</v>
      </c>
      <c r="N276" s="2" t="str">
        <f t="shared" si="67"/>
        <v>vikas@company.com</v>
      </c>
      <c r="O276" s="12">
        <v>21930</v>
      </c>
      <c r="P276" s="2" t="str">
        <f t="shared" si="56"/>
        <v>20K-40K</v>
      </c>
      <c r="Q276" s="2"/>
      <c r="R276" s="2" t="s">
        <v>135</v>
      </c>
      <c r="S276" s="2" t="str">
        <f t="shared" si="57"/>
        <v>M15</v>
      </c>
      <c r="T276" s="2" t="s">
        <v>45</v>
      </c>
      <c r="U276" s="2" t="str">
        <f t="shared" si="68"/>
        <v>RESIGNED</v>
      </c>
      <c r="V276" s="2">
        <f t="shared" ca="1" si="58"/>
        <v>1050</v>
      </c>
      <c r="W276" s="2">
        <f t="shared" ca="1" si="59"/>
        <v>34</v>
      </c>
      <c r="X276" s="2">
        <f t="shared" ca="1" si="60"/>
        <v>2</v>
      </c>
      <c r="Y276" s="2"/>
      <c r="Z276" s="2"/>
      <c r="AA276" s="2" t="str">
        <f t="shared" ca="1" si="69"/>
        <v>OK</v>
      </c>
    </row>
    <row r="277" spans="1:27" x14ac:dyDescent="0.3">
      <c r="A277" s="2" t="s">
        <v>858</v>
      </c>
      <c r="B277" s="2" t="str">
        <f t="shared" si="61"/>
        <v>EMP276</v>
      </c>
      <c r="C277" s="2" t="s">
        <v>104</v>
      </c>
      <c r="D277" s="2" t="str">
        <f t="shared" si="62"/>
        <v>Vikas</v>
      </c>
      <c r="E277" s="2" t="s">
        <v>48</v>
      </c>
      <c r="F277" s="2" t="str">
        <f t="shared" si="63"/>
        <v>FINANCE</v>
      </c>
      <c r="G277" s="6" t="s">
        <v>859</v>
      </c>
      <c r="H277" s="8">
        <f t="shared" si="64"/>
        <v>44573</v>
      </c>
      <c r="I277" s="2" t="s">
        <v>860</v>
      </c>
      <c r="J277" s="3">
        <f t="shared" ca="1" si="65"/>
        <v>46034</v>
      </c>
      <c r="K277" s="2">
        <v>9539842844</v>
      </c>
      <c r="L277" s="2">
        <f t="shared" si="66"/>
        <v>9539842844</v>
      </c>
      <c r="M277" s="2" t="s">
        <v>36</v>
      </c>
      <c r="N277" s="2" t="str">
        <f t="shared" si="67"/>
        <v>neha@company.com</v>
      </c>
      <c r="O277" s="12">
        <v>18792</v>
      </c>
      <c r="P277" s="2" t="str">
        <f t="shared" si="56"/>
        <v>Below 20K</v>
      </c>
      <c r="Q277" s="2"/>
      <c r="R277" s="2" t="s">
        <v>212</v>
      </c>
      <c r="S277" s="2" t="str">
        <f t="shared" si="57"/>
        <v>M18</v>
      </c>
      <c r="T277" s="2" t="s">
        <v>45</v>
      </c>
      <c r="U277" s="2" t="str">
        <f t="shared" si="68"/>
        <v>RESIGNED</v>
      </c>
      <c r="V277" s="2">
        <f t="shared" ca="1" si="58"/>
        <v>1461</v>
      </c>
      <c r="W277" s="2">
        <f t="shared" ca="1" si="59"/>
        <v>48</v>
      </c>
      <c r="X277" s="2">
        <f t="shared" ca="1" si="60"/>
        <v>4</v>
      </c>
      <c r="Y277" s="2"/>
      <c r="Z277" s="2"/>
      <c r="AA277" s="2" t="str">
        <f t="shared" ca="1" si="69"/>
        <v>OK</v>
      </c>
    </row>
    <row r="278" spans="1:27" x14ac:dyDescent="0.3">
      <c r="A278" s="2" t="s">
        <v>861</v>
      </c>
      <c r="B278" s="2" t="str">
        <f t="shared" si="61"/>
        <v>EMP277</v>
      </c>
      <c r="C278" s="2" t="s">
        <v>81</v>
      </c>
      <c r="D278" s="2" t="str">
        <f t="shared" si="62"/>
        <v>Suresh</v>
      </c>
      <c r="E278" s="2" t="s">
        <v>40</v>
      </c>
      <c r="F278" s="2" t="str">
        <f t="shared" si="63"/>
        <v>SALES</v>
      </c>
      <c r="G278" s="6" t="s">
        <v>258</v>
      </c>
      <c r="H278" s="8">
        <f t="shared" si="64"/>
        <v>45260</v>
      </c>
      <c r="I278" s="2" t="s">
        <v>862</v>
      </c>
      <c r="J278" s="3">
        <f t="shared" ca="1" si="65"/>
        <v>46406</v>
      </c>
      <c r="K278" s="2">
        <v>9195723614</v>
      </c>
      <c r="L278" s="2">
        <f t="shared" si="66"/>
        <v>9195723614</v>
      </c>
      <c r="M278" s="2" t="s">
        <v>118</v>
      </c>
      <c r="N278" s="2" t="str">
        <f t="shared" si="67"/>
        <v>rahul@company.com</v>
      </c>
      <c r="O278" s="12">
        <v>62051</v>
      </c>
      <c r="P278" s="2" t="str">
        <f t="shared" si="56"/>
        <v>60K-80K</v>
      </c>
      <c r="Q278" s="2"/>
      <c r="R278" s="2" t="s">
        <v>16</v>
      </c>
      <c r="S278" s="2" t="str">
        <f t="shared" si="57"/>
        <v>M4</v>
      </c>
      <c r="T278" s="2" t="s">
        <v>31</v>
      </c>
      <c r="U278" s="2" t="str">
        <f t="shared" si="68"/>
        <v>ON HOLD</v>
      </c>
      <c r="V278" s="2">
        <f t="shared" ca="1" si="58"/>
        <v>1146</v>
      </c>
      <c r="W278" s="2">
        <f t="shared" ca="1" si="59"/>
        <v>37</v>
      </c>
      <c r="X278" s="2">
        <f t="shared" ca="1" si="60"/>
        <v>3</v>
      </c>
      <c r="Y278" s="2"/>
      <c r="Z278" s="2"/>
      <c r="AA278" s="2" t="str">
        <f t="shared" ca="1" si="69"/>
        <v>OK</v>
      </c>
    </row>
    <row r="279" spans="1:27" x14ac:dyDescent="0.3">
      <c r="A279" s="2" t="s">
        <v>863</v>
      </c>
      <c r="B279" s="2" t="str">
        <f t="shared" si="61"/>
        <v>EMP278</v>
      </c>
      <c r="C279" s="2" t="s">
        <v>161</v>
      </c>
      <c r="D279" s="2" t="str">
        <f t="shared" si="62"/>
        <v>Kiran</v>
      </c>
      <c r="E279" s="2" t="s">
        <v>19</v>
      </c>
      <c r="F279" s="2" t="str">
        <f t="shared" si="63"/>
        <v>FINANCE</v>
      </c>
      <c r="G279" s="6" t="s">
        <v>864</v>
      </c>
      <c r="H279" s="8">
        <f t="shared" si="64"/>
        <v>44299</v>
      </c>
      <c r="I279" s="2" t="s">
        <v>865</v>
      </c>
      <c r="J279" s="3">
        <f t="shared" ca="1" si="65"/>
        <v>44441</v>
      </c>
      <c r="K279" s="2">
        <v>9198077305</v>
      </c>
      <c r="L279" s="2">
        <f t="shared" si="66"/>
        <v>9198077305</v>
      </c>
      <c r="M279" s="2" t="s">
        <v>70</v>
      </c>
      <c r="N279" s="2" t="str">
        <f t="shared" si="67"/>
        <v>sunita@company.com</v>
      </c>
      <c r="O279" s="12">
        <v>94195</v>
      </c>
      <c r="P279" s="2" t="str">
        <f t="shared" si="56"/>
        <v>Above 80K</v>
      </c>
      <c r="Q279" s="2"/>
      <c r="R279" s="2" t="s">
        <v>358</v>
      </c>
      <c r="S279" s="2" t="str">
        <f t="shared" si="57"/>
        <v>M1</v>
      </c>
      <c r="T279" s="2" t="s">
        <v>31</v>
      </c>
      <c r="U279" s="2" t="str">
        <f t="shared" si="68"/>
        <v>ON HOLD</v>
      </c>
      <c r="V279" s="2">
        <f t="shared" ca="1" si="58"/>
        <v>142</v>
      </c>
      <c r="W279" s="2">
        <f t="shared" ca="1" si="59"/>
        <v>4</v>
      </c>
      <c r="X279" s="2">
        <f t="shared" ca="1" si="60"/>
        <v>0</v>
      </c>
      <c r="Y279" s="2"/>
      <c r="Z279" s="2"/>
      <c r="AA279" s="2" t="str">
        <f t="shared" ca="1" si="69"/>
        <v>CHECK</v>
      </c>
    </row>
    <row r="280" spans="1:27" x14ac:dyDescent="0.3">
      <c r="A280" s="2" t="s">
        <v>866</v>
      </c>
      <c r="B280" s="2" t="str">
        <f t="shared" si="61"/>
        <v>EMP279</v>
      </c>
      <c r="C280" s="2" t="s">
        <v>104</v>
      </c>
      <c r="D280" s="2" t="str">
        <f t="shared" si="62"/>
        <v>Vikas</v>
      </c>
      <c r="E280" s="2" t="s">
        <v>129</v>
      </c>
      <c r="F280" s="2" t="str">
        <f t="shared" si="63"/>
        <v>SALES</v>
      </c>
      <c r="G280" s="6" t="s">
        <v>867</v>
      </c>
      <c r="H280" s="8">
        <f t="shared" si="64"/>
        <v>44636</v>
      </c>
      <c r="I280" s="2" t="s">
        <v>868</v>
      </c>
      <c r="J280" s="3">
        <f t="shared" ca="1" si="65"/>
        <v>45636</v>
      </c>
      <c r="K280" s="2">
        <v>9772513756</v>
      </c>
      <c r="L280" s="2">
        <f t="shared" si="66"/>
        <v>9772513756</v>
      </c>
      <c r="M280" s="2" t="s">
        <v>118</v>
      </c>
      <c r="N280" s="2" t="str">
        <f t="shared" si="67"/>
        <v>rahul@company.com</v>
      </c>
      <c r="O280" s="12">
        <v>75557</v>
      </c>
      <c r="P280" s="2" t="str">
        <f t="shared" si="56"/>
        <v>60K-80K</v>
      </c>
      <c r="Q280" s="2"/>
      <c r="R280" s="2" t="s">
        <v>440</v>
      </c>
      <c r="S280" s="2" t="str">
        <f t="shared" si="57"/>
        <v>M5</v>
      </c>
      <c r="T280" s="2" t="s">
        <v>17</v>
      </c>
      <c r="U280" s="2" t="str">
        <f t="shared" si="68"/>
        <v>RESIGNED</v>
      </c>
      <c r="V280" s="2">
        <f t="shared" ca="1" si="58"/>
        <v>1000</v>
      </c>
      <c r="W280" s="2">
        <f t="shared" ca="1" si="59"/>
        <v>32</v>
      </c>
      <c r="X280" s="2">
        <f t="shared" ca="1" si="60"/>
        <v>2</v>
      </c>
      <c r="Y280" s="2"/>
      <c r="Z280" s="2"/>
      <c r="AA280" s="2" t="str">
        <f t="shared" ca="1" si="69"/>
        <v>OK</v>
      </c>
    </row>
    <row r="281" spans="1:27" x14ac:dyDescent="0.3">
      <c r="A281" s="2" t="s">
        <v>869</v>
      </c>
      <c r="B281" s="2" t="str">
        <f t="shared" si="61"/>
        <v>EMP280</v>
      </c>
      <c r="C281" s="2" t="s">
        <v>47</v>
      </c>
      <c r="D281" s="2" t="str">
        <f t="shared" si="62"/>
        <v>Sunita</v>
      </c>
      <c r="E281" s="2" t="s">
        <v>12</v>
      </c>
      <c r="F281" s="2" t="str">
        <f t="shared" si="63"/>
        <v>IT</v>
      </c>
      <c r="G281" s="6" t="s">
        <v>870</v>
      </c>
      <c r="H281" s="8">
        <f t="shared" si="64"/>
        <v>45013</v>
      </c>
      <c r="I281" s="2"/>
      <c r="J281" s="3">
        <f t="shared" ca="1" si="65"/>
        <v>46024</v>
      </c>
      <c r="K281" s="2">
        <v>9715769563</v>
      </c>
      <c r="L281" s="2">
        <f t="shared" si="66"/>
        <v>9715769563</v>
      </c>
      <c r="M281" s="2" t="s">
        <v>650</v>
      </c>
      <c r="N281" s="2" t="str">
        <f t="shared" si="67"/>
        <v>rahul@gmail.com</v>
      </c>
      <c r="O281" s="12">
        <v>20900</v>
      </c>
      <c r="P281" s="2" t="str">
        <f t="shared" si="56"/>
        <v>20K-40K</v>
      </c>
      <c r="Q281" s="2"/>
      <c r="R281" s="2" t="s">
        <v>142</v>
      </c>
      <c r="S281" s="2" t="str">
        <f t="shared" si="57"/>
        <v>M23</v>
      </c>
      <c r="T281" s="2" t="s">
        <v>31</v>
      </c>
      <c r="U281" s="2" t="str">
        <f t="shared" si="68"/>
        <v>ON HOLD</v>
      </c>
      <c r="V281" s="2">
        <f t="shared" ca="1" si="58"/>
        <v>1011</v>
      </c>
      <c r="W281" s="2">
        <f t="shared" ca="1" si="59"/>
        <v>33</v>
      </c>
      <c r="X281" s="2">
        <f t="shared" ca="1" si="60"/>
        <v>2</v>
      </c>
      <c r="Y281" s="2"/>
      <c r="Z281" s="2"/>
      <c r="AA281" s="2" t="str">
        <f t="shared" ca="1" si="69"/>
        <v>OK</v>
      </c>
    </row>
    <row r="282" spans="1:27" x14ac:dyDescent="0.3">
      <c r="A282" s="2" t="s">
        <v>871</v>
      </c>
      <c r="B282" s="2" t="str">
        <f t="shared" si="61"/>
        <v>EMP281</v>
      </c>
      <c r="C282" s="2" t="s">
        <v>96</v>
      </c>
      <c r="D282" s="2" t="str">
        <f t="shared" si="62"/>
        <v>Neha</v>
      </c>
      <c r="E282" s="2" t="s">
        <v>48</v>
      </c>
      <c r="F282" s="2" t="str">
        <f t="shared" si="63"/>
        <v>FINANCE</v>
      </c>
      <c r="G282" s="6" t="s">
        <v>872</v>
      </c>
      <c r="H282" s="8">
        <f t="shared" si="64"/>
        <v>45012</v>
      </c>
      <c r="I282" s="2" t="s">
        <v>873</v>
      </c>
      <c r="J282" s="3">
        <f t="shared" ca="1" si="65"/>
        <v>45433</v>
      </c>
      <c r="K282" s="2">
        <v>9873784208</v>
      </c>
      <c r="L282" s="2">
        <f t="shared" si="66"/>
        <v>9873784208</v>
      </c>
      <c r="M282" s="2" t="s">
        <v>29</v>
      </c>
      <c r="N282" s="2" t="str">
        <f t="shared" si="67"/>
        <v>suresh@company.com</v>
      </c>
      <c r="O282" s="12">
        <v>58398</v>
      </c>
      <c r="P282" s="2" t="str">
        <f t="shared" si="56"/>
        <v>40K-60K</v>
      </c>
      <c r="Q282" s="2"/>
      <c r="R282" s="2" t="s">
        <v>341</v>
      </c>
      <c r="S282" s="2" t="str">
        <f t="shared" si="57"/>
        <v>M22</v>
      </c>
      <c r="T282" s="2" t="s">
        <v>45</v>
      </c>
      <c r="U282" s="2" t="str">
        <f t="shared" si="68"/>
        <v>RESIGNED</v>
      </c>
      <c r="V282" s="2">
        <f t="shared" ca="1" si="58"/>
        <v>421</v>
      </c>
      <c r="W282" s="2">
        <f t="shared" ca="1" si="59"/>
        <v>13</v>
      </c>
      <c r="X282" s="2">
        <f t="shared" ca="1" si="60"/>
        <v>1</v>
      </c>
      <c r="Y282" s="2"/>
      <c r="Z282" s="2"/>
      <c r="AA282" s="2" t="str">
        <f t="shared" ca="1" si="69"/>
        <v>OK</v>
      </c>
    </row>
    <row r="283" spans="1:27" x14ac:dyDescent="0.3">
      <c r="A283" s="2" t="s">
        <v>874</v>
      </c>
      <c r="B283" s="2" t="str">
        <f t="shared" si="61"/>
        <v>EMP282</v>
      </c>
      <c r="C283" s="2" t="s">
        <v>161</v>
      </c>
      <c r="D283" s="2" t="str">
        <f t="shared" si="62"/>
        <v>Kiran</v>
      </c>
      <c r="E283" s="2" t="s">
        <v>12</v>
      </c>
      <c r="F283" s="2" t="str">
        <f t="shared" si="63"/>
        <v>IT</v>
      </c>
      <c r="G283" s="6" t="s">
        <v>875</v>
      </c>
      <c r="H283" s="8">
        <f t="shared" si="64"/>
        <v>44007</v>
      </c>
      <c r="I283" s="2" t="s">
        <v>876</v>
      </c>
      <c r="J283" s="3">
        <f t="shared" ca="1" si="65"/>
        <v>44774</v>
      </c>
      <c r="K283" s="2">
        <v>9623115702</v>
      </c>
      <c r="L283" s="2">
        <f t="shared" si="66"/>
        <v>9623115702</v>
      </c>
      <c r="M283" s="2" t="s">
        <v>84</v>
      </c>
      <c r="N283" s="2" t="str">
        <f t="shared" si="67"/>
        <v>ankit@company.com</v>
      </c>
      <c r="O283" s="12">
        <v>56695</v>
      </c>
      <c r="P283" s="2" t="str">
        <f t="shared" si="56"/>
        <v>40K-60K</v>
      </c>
      <c r="Q283" s="2"/>
      <c r="R283" s="2" t="s">
        <v>127</v>
      </c>
      <c r="S283" s="2" t="str">
        <f t="shared" si="57"/>
        <v>M19</v>
      </c>
      <c r="T283" s="2" t="s">
        <v>31</v>
      </c>
      <c r="U283" s="2" t="str">
        <f t="shared" si="68"/>
        <v>ON HOLD</v>
      </c>
      <c r="V283" s="2">
        <f t="shared" ca="1" si="58"/>
        <v>767</v>
      </c>
      <c r="W283" s="2">
        <f t="shared" ca="1" si="59"/>
        <v>25</v>
      </c>
      <c r="X283" s="2">
        <f t="shared" ca="1" si="60"/>
        <v>2</v>
      </c>
      <c r="Y283" s="2"/>
      <c r="Z283" s="2"/>
      <c r="AA283" s="2" t="str">
        <f t="shared" ca="1" si="69"/>
        <v>OK</v>
      </c>
    </row>
    <row r="284" spans="1:27" x14ac:dyDescent="0.3">
      <c r="A284" s="2" t="s">
        <v>877</v>
      </c>
      <c r="B284" s="2" t="str">
        <f t="shared" si="61"/>
        <v>EMP283</v>
      </c>
      <c r="C284" s="2" t="s">
        <v>115</v>
      </c>
      <c r="D284" s="2" t="str">
        <f t="shared" si="62"/>
        <v>Rahul</v>
      </c>
      <c r="E284" s="2" t="s">
        <v>26</v>
      </c>
      <c r="F284" s="2" t="str">
        <f t="shared" si="63"/>
        <v>HR</v>
      </c>
      <c r="G284" s="6" t="s">
        <v>878</v>
      </c>
      <c r="H284" s="8">
        <f t="shared" si="64"/>
        <v>43694</v>
      </c>
      <c r="I284" s="2" t="s">
        <v>879</v>
      </c>
      <c r="J284" s="3">
        <f t="shared" ca="1" si="65"/>
        <v>44119</v>
      </c>
      <c r="K284" s="2">
        <v>9581322902</v>
      </c>
      <c r="L284" s="2">
        <f t="shared" si="66"/>
        <v>9581322902</v>
      </c>
      <c r="M284" s="2" t="s">
        <v>15</v>
      </c>
      <c r="N284" s="2" t="str">
        <f t="shared" si="67"/>
        <v>amit@company.com</v>
      </c>
      <c r="O284" s="12">
        <v>37029</v>
      </c>
      <c r="P284" s="2" t="str">
        <f t="shared" si="56"/>
        <v>20K-40K</v>
      </c>
      <c r="Q284" s="2"/>
      <c r="R284" s="2" t="s">
        <v>127</v>
      </c>
      <c r="S284" s="2" t="str">
        <f t="shared" si="57"/>
        <v>M19</v>
      </c>
      <c r="T284" s="2" t="s">
        <v>45</v>
      </c>
      <c r="U284" s="2" t="str">
        <f t="shared" si="68"/>
        <v>RESIGNED</v>
      </c>
      <c r="V284" s="2">
        <f t="shared" ca="1" si="58"/>
        <v>425</v>
      </c>
      <c r="W284" s="2">
        <f t="shared" ca="1" si="59"/>
        <v>13</v>
      </c>
      <c r="X284" s="2">
        <f t="shared" ca="1" si="60"/>
        <v>1</v>
      </c>
      <c r="Y284" s="2"/>
      <c r="Z284" s="2"/>
      <c r="AA284" s="2" t="str">
        <f t="shared" ca="1" si="69"/>
        <v>OK</v>
      </c>
    </row>
    <row r="285" spans="1:27" x14ac:dyDescent="0.3">
      <c r="A285" s="2" t="s">
        <v>880</v>
      </c>
      <c r="B285" s="2" t="str">
        <f t="shared" si="61"/>
        <v>EMP284</v>
      </c>
      <c r="C285" s="2" t="s">
        <v>115</v>
      </c>
      <c r="D285" s="2" t="str">
        <f t="shared" si="62"/>
        <v>Rahul</v>
      </c>
      <c r="E285" s="2" t="s">
        <v>12</v>
      </c>
      <c r="F285" s="2" t="str">
        <f t="shared" si="63"/>
        <v>IT</v>
      </c>
      <c r="G285" s="6" t="s">
        <v>881</v>
      </c>
      <c r="H285" s="8">
        <f t="shared" si="64"/>
        <v>44054</v>
      </c>
      <c r="I285" s="2" t="s">
        <v>882</v>
      </c>
      <c r="J285" s="3">
        <f t="shared" ca="1" si="65"/>
        <v>45375</v>
      </c>
      <c r="K285" s="2">
        <v>9942364996</v>
      </c>
      <c r="L285" s="2">
        <f t="shared" si="66"/>
        <v>9942364996</v>
      </c>
      <c r="M285" s="2" t="s">
        <v>22</v>
      </c>
      <c r="N285" s="2" t="str">
        <f t="shared" si="67"/>
        <v>pooja@company.com</v>
      </c>
      <c r="O285" s="12">
        <v>32971</v>
      </c>
      <c r="P285" s="2" t="str">
        <f t="shared" si="56"/>
        <v>20K-40K</v>
      </c>
      <c r="Q285" s="2"/>
      <c r="R285" s="2" t="s">
        <v>166</v>
      </c>
      <c r="S285" s="2" t="str">
        <f t="shared" si="57"/>
        <v>M7</v>
      </c>
      <c r="T285" s="2" t="s">
        <v>17</v>
      </c>
      <c r="U285" s="2" t="str">
        <f t="shared" si="68"/>
        <v>RESIGNED</v>
      </c>
      <c r="V285" s="2">
        <f t="shared" ca="1" si="58"/>
        <v>1321</v>
      </c>
      <c r="W285" s="2">
        <f t="shared" ca="1" si="59"/>
        <v>43</v>
      </c>
      <c r="X285" s="2">
        <f t="shared" ca="1" si="60"/>
        <v>3</v>
      </c>
      <c r="Y285" s="2"/>
      <c r="Z285" s="2"/>
      <c r="AA285" s="2" t="str">
        <f t="shared" ca="1" si="69"/>
        <v>OK</v>
      </c>
    </row>
    <row r="286" spans="1:27" x14ac:dyDescent="0.3">
      <c r="A286" s="2" t="s">
        <v>883</v>
      </c>
      <c r="B286" s="2" t="str">
        <f t="shared" si="61"/>
        <v>EMP285</v>
      </c>
      <c r="C286" s="2" t="s">
        <v>47</v>
      </c>
      <c r="D286" s="2" t="str">
        <f t="shared" si="62"/>
        <v>Sunita</v>
      </c>
      <c r="E286" s="2" t="s">
        <v>57</v>
      </c>
      <c r="F286" s="2" t="str">
        <f t="shared" si="63"/>
        <v>HR</v>
      </c>
      <c r="G286" s="6" t="s">
        <v>884</v>
      </c>
      <c r="H286" s="8">
        <f t="shared" si="64"/>
        <v>44563</v>
      </c>
      <c r="I286" s="2" t="s">
        <v>885</v>
      </c>
      <c r="J286" s="3">
        <f t="shared" ca="1" si="65"/>
        <v>45104</v>
      </c>
      <c r="K286" s="2">
        <v>9513014697</v>
      </c>
      <c r="L286" s="2">
        <f t="shared" si="66"/>
        <v>9513014697</v>
      </c>
      <c r="M286" s="2" t="s">
        <v>43</v>
      </c>
      <c r="N286" s="2" t="str">
        <f t="shared" si="67"/>
        <v>ravi@company.com</v>
      </c>
      <c r="O286" s="12">
        <v>46040</v>
      </c>
      <c r="P286" s="2" t="str">
        <f t="shared" si="56"/>
        <v>40K-60K</v>
      </c>
      <c r="Q286" s="2"/>
      <c r="R286" s="2" t="s">
        <v>61</v>
      </c>
      <c r="S286" s="2" t="str">
        <f t="shared" si="57"/>
        <v>M13</v>
      </c>
      <c r="T286" s="2" t="s">
        <v>37</v>
      </c>
      <c r="U286" s="2" t="str">
        <f t="shared" si="68"/>
        <v>ACTIVE</v>
      </c>
      <c r="V286" s="2">
        <f t="shared" ca="1" si="58"/>
        <v>541</v>
      </c>
      <c r="W286" s="2">
        <f t="shared" ca="1" si="59"/>
        <v>17</v>
      </c>
      <c r="X286" s="2">
        <f t="shared" ca="1" si="60"/>
        <v>1</v>
      </c>
      <c r="Y286" s="2"/>
      <c r="Z286" s="2"/>
      <c r="AA286" s="2" t="str">
        <f t="shared" ca="1" si="69"/>
        <v>OK</v>
      </c>
    </row>
    <row r="287" spans="1:27" x14ac:dyDescent="0.3">
      <c r="A287" s="2" t="s">
        <v>886</v>
      </c>
      <c r="B287" s="2" t="str">
        <f t="shared" si="61"/>
        <v>EMP286</v>
      </c>
      <c r="C287" s="2" t="s">
        <v>81</v>
      </c>
      <c r="D287" s="2" t="str">
        <f t="shared" si="62"/>
        <v>Suresh</v>
      </c>
      <c r="E287" s="2" t="s">
        <v>57</v>
      </c>
      <c r="F287" s="2" t="str">
        <f t="shared" si="63"/>
        <v>HR</v>
      </c>
      <c r="G287" s="6" t="s">
        <v>887</v>
      </c>
      <c r="H287" s="8">
        <f t="shared" si="64"/>
        <v>44224</v>
      </c>
      <c r="I287" s="2" t="s">
        <v>888</v>
      </c>
      <c r="J287" s="3">
        <f t="shared" ca="1" si="65"/>
        <v>45057</v>
      </c>
      <c r="K287" s="2">
        <v>9731732913</v>
      </c>
      <c r="L287" s="2">
        <f t="shared" si="66"/>
        <v>9731732913</v>
      </c>
      <c r="M287" s="2" t="s">
        <v>15</v>
      </c>
      <c r="N287" s="2" t="str">
        <f t="shared" si="67"/>
        <v>amit@company.com</v>
      </c>
      <c r="O287" s="12">
        <v>17250</v>
      </c>
      <c r="P287" s="2" t="str">
        <f t="shared" si="56"/>
        <v>Below 20K</v>
      </c>
      <c r="Q287" s="2"/>
      <c r="R287" s="2" t="s">
        <v>71</v>
      </c>
      <c r="S287" s="2" t="str">
        <f t="shared" si="57"/>
        <v>M14</v>
      </c>
      <c r="T287" s="2" t="s">
        <v>45</v>
      </c>
      <c r="U287" s="2" t="str">
        <f t="shared" si="68"/>
        <v>RESIGNED</v>
      </c>
      <c r="V287" s="2">
        <f t="shared" ca="1" si="58"/>
        <v>833</v>
      </c>
      <c r="W287" s="2">
        <f t="shared" ca="1" si="59"/>
        <v>27</v>
      </c>
      <c r="X287" s="2">
        <f t="shared" ca="1" si="60"/>
        <v>2</v>
      </c>
      <c r="Y287" s="2"/>
      <c r="Z287" s="2"/>
      <c r="AA287" s="2" t="str">
        <f t="shared" ca="1" si="69"/>
        <v>OK</v>
      </c>
    </row>
    <row r="288" spans="1:27" x14ac:dyDescent="0.3">
      <c r="A288" s="2" t="s">
        <v>889</v>
      </c>
      <c r="B288" s="2" t="str">
        <f t="shared" si="61"/>
        <v>EMP287</v>
      </c>
      <c r="C288" s="2" t="s">
        <v>25</v>
      </c>
      <c r="D288" s="2" t="str">
        <f t="shared" si="62"/>
        <v>Ankit</v>
      </c>
      <c r="E288" s="2" t="s">
        <v>33</v>
      </c>
      <c r="F288" s="2" t="str">
        <f t="shared" si="63"/>
        <v>IT</v>
      </c>
      <c r="G288" s="6" t="s">
        <v>890</v>
      </c>
      <c r="H288" s="8">
        <f t="shared" si="64"/>
        <v>43900</v>
      </c>
      <c r="I288" s="2"/>
      <c r="J288" s="3">
        <f t="shared" ca="1" si="65"/>
        <v>46024</v>
      </c>
      <c r="K288" s="2">
        <v>9144917075</v>
      </c>
      <c r="L288" s="2">
        <f t="shared" si="66"/>
        <v>9144917075</v>
      </c>
      <c r="M288" s="2" t="s">
        <v>29</v>
      </c>
      <c r="N288" s="2" t="str">
        <f t="shared" si="67"/>
        <v>suresh@company.com</v>
      </c>
      <c r="O288" s="12">
        <v>77516</v>
      </c>
      <c r="P288" s="2" t="str">
        <f t="shared" si="56"/>
        <v>60K-80K</v>
      </c>
      <c r="Q288" s="2"/>
      <c r="R288" s="2" t="s">
        <v>142</v>
      </c>
      <c r="S288" s="2" t="str">
        <f t="shared" si="57"/>
        <v>M23</v>
      </c>
      <c r="T288" s="2" t="s">
        <v>17</v>
      </c>
      <c r="U288" s="2" t="str">
        <f t="shared" si="68"/>
        <v>RESIGNED</v>
      </c>
      <c r="V288" s="2">
        <f t="shared" ca="1" si="58"/>
        <v>2124</v>
      </c>
      <c r="W288" s="2">
        <f t="shared" ca="1" si="59"/>
        <v>69</v>
      </c>
      <c r="X288" s="2">
        <f t="shared" ca="1" si="60"/>
        <v>5</v>
      </c>
      <c r="Y288" s="2"/>
      <c r="Z288" s="2"/>
      <c r="AA288" s="2" t="str">
        <f t="shared" ca="1" si="69"/>
        <v>OK</v>
      </c>
    </row>
    <row r="289" spans="1:27" x14ac:dyDescent="0.3">
      <c r="A289" s="2" t="s">
        <v>891</v>
      </c>
      <c r="B289" s="2" t="str">
        <f t="shared" si="61"/>
        <v>EMP288</v>
      </c>
      <c r="C289" s="2" t="s">
        <v>25</v>
      </c>
      <c r="D289" s="2" t="str">
        <f t="shared" si="62"/>
        <v>Ankit</v>
      </c>
      <c r="E289" s="2" t="s">
        <v>26</v>
      </c>
      <c r="F289" s="2" t="str">
        <f t="shared" si="63"/>
        <v>HR</v>
      </c>
      <c r="G289" s="6" t="s">
        <v>892</v>
      </c>
      <c r="H289" s="8">
        <f t="shared" si="64"/>
        <v>44145</v>
      </c>
      <c r="I289" s="2" t="s">
        <v>893</v>
      </c>
      <c r="J289" s="3">
        <f t="shared" ca="1" si="65"/>
        <v>44295</v>
      </c>
      <c r="K289" s="2">
        <v>9406478617</v>
      </c>
      <c r="L289" s="2">
        <f t="shared" si="66"/>
        <v>9406478617</v>
      </c>
      <c r="M289" s="2" t="s">
        <v>400</v>
      </c>
      <c r="N289" s="2" t="str">
        <f t="shared" si="67"/>
        <v>kiran@gmail.com</v>
      </c>
      <c r="O289" s="12">
        <v>89227</v>
      </c>
      <c r="P289" s="2" t="str">
        <f t="shared" si="56"/>
        <v>Above 80K</v>
      </c>
      <c r="Q289" s="2"/>
      <c r="R289" s="2" t="s">
        <v>170</v>
      </c>
      <c r="S289" s="2" t="str">
        <f t="shared" si="57"/>
        <v>M16</v>
      </c>
      <c r="T289" s="2" t="s">
        <v>45</v>
      </c>
      <c r="U289" s="2" t="str">
        <f t="shared" si="68"/>
        <v>RESIGNED</v>
      </c>
      <c r="V289" s="2">
        <f t="shared" ca="1" si="58"/>
        <v>150</v>
      </c>
      <c r="W289" s="2">
        <f t="shared" ca="1" si="59"/>
        <v>4</v>
      </c>
      <c r="X289" s="2">
        <f t="shared" ca="1" si="60"/>
        <v>0</v>
      </c>
      <c r="Y289" s="2"/>
      <c r="Z289" s="2"/>
      <c r="AA289" s="2" t="str">
        <f t="shared" ca="1" si="69"/>
        <v>CHECK</v>
      </c>
    </row>
    <row r="290" spans="1:27" x14ac:dyDescent="0.3">
      <c r="A290" s="2" t="s">
        <v>894</v>
      </c>
      <c r="B290" s="2" t="str">
        <f t="shared" si="61"/>
        <v>EMP289</v>
      </c>
      <c r="C290" s="2" t="s">
        <v>104</v>
      </c>
      <c r="D290" s="2" t="str">
        <f t="shared" si="62"/>
        <v>Vikas</v>
      </c>
      <c r="E290" s="2" t="s">
        <v>57</v>
      </c>
      <c r="F290" s="2" t="str">
        <f t="shared" si="63"/>
        <v>HR</v>
      </c>
      <c r="G290" s="6" t="s">
        <v>313</v>
      </c>
      <c r="H290" s="8">
        <f t="shared" si="64"/>
        <v>44250</v>
      </c>
      <c r="I290" s="2" t="s">
        <v>895</v>
      </c>
      <c r="J290" s="3">
        <f t="shared" ca="1" si="65"/>
        <v>44316</v>
      </c>
      <c r="K290" s="2">
        <v>9451093835</v>
      </c>
      <c r="L290" s="2">
        <f t="shared" si="66"/>
        <v>9451093835</v>
      </c>
      <c r="M290" s="2" t="s">
        <v>29</v>
      </c>
      <c r="N290" s="2" t="str">
        <f t="shared" si="67"/>
        <v>suresh@company.com</v>
      </c>
      <c r="O290" s="12">
        <v>52206</v>
      </c>
      <c r="P290" s="2" t="str">
        <f t="shared" si="56"/>
        <v>40K-60K</v>
      </c>
      <c r="Q290" s="2"/>
      <c r="R290" s="2" t="s">
        <v>142</v>
      </c>
      <c r="S290" s="2" t="str">
        <f t="shared" si="57"/>
        <v>M23</v>
      </c>
      <c r="T290" s="2" t="s">
        <v>31</v>
      </c>
      <c r="U290" s="2" t="str">
        <f t="shared" si="68"/>
        <v>ON HOLD</v>
      </c>
      <c r="V290" s="2">
        <f t="shared" ca="1" si="58"/>
        <v>66</v>
      </c>
      <c r="W290" s="2">
        <f t="shared" ca="1" si="59"/>
        <v>2</v>
      </c>
      <c r="X290" s="2">
        <f t="shared" ca="1" si="60"/>
        <v>0</v>
      </c>
      <c r="Y290" s="2"/>
      <c r="Z290" s="2"/>
      <c r="AA290" s="2" t="str">
        <f t="shared" ca="1" si="69"/>
        <v>OK</v>
      </c>
    </row>
    <row r="291" spans="1:27" x14ac:dyDescent="0.3">
      <c r="A291" s="2" t="s">
        <v>896</v>
      </c>
      <c r="B291" s="2" t="str">
        <f t="shared" si="61"/>
        <v>EMP290</v>
      </c>
      <c r="C291" s="2" t="s">
        <v>115</v>
      </c>
      <c r="D291" s="2" t="str">
        <f t="shared" si="62"/>
        <v>Rahul</v>
      </c>
      <c r="E291" s="2" t="s">
        <v>26</v>
      </c>
      <c r="F291" s="2" t="str">
        <f t="shared" si="63"/>
        <v>HR</v>
      </c>
      <c r="G291" s="6" t="s">
        <v>897</v>
      </c>
      <c r="H291" s="8">
        <f t="shared" si="64"/>
        <v>44056</v>
      </c>
      <c r="I291" s="2" t="s">
        <v>898</v>
      </c>
      <c r="J291" s="3">
        <f t="shared" ca="1" si="65"/>
        <v>45395</v>
      </c>
      <c r="K291" s="2">
        <v>9983103052</v>
      </c>
      <c r="L291" s="2">
        <f t="shared" si="66"/>
        <v>9983103052</v>
      </c>
      <c r="M291" s="2" t="s">
        <v>36</v>
      </c>
      <c r="N291" s="2" t="str">
        <f t="shared" si="67"/>
        <v>neha@company.com</v>
      </c>
      <c r="O291" s="12">
        <v>48655</v>
      </c>
      <c r="P291" s="2" t="str">
        <f t="shared" si="56"/>
        <v>40K-60K</v>
      </c>
      <c r="Q291" s="2"/>
      <c r="R291" s="2" t="s">
        <v>61</v>
      </c>
      <c r="S291" s="2" t="str">
        <f t="shared" si="57"/>
        <v>M13</v>
      </c>
      <c r="T291" s="2" t="s">
        <v>149</v>
      </c>
      <c r="U291" s="2" t="str">
        <f t="shared" si="68"/>
        <v>ACTIVE</v>
      </c>
      <c r="V291" s="2">
        <f t="shared" ca="1" si="58"/>
        <v>1339</v>
      </c>
      <c r="W291" s="2">
        <f t="shared" ca="1" si="59"/>
        <v>44</v>
      </c>
      <c r="X291" s="2">
        <f t="shared" ca="1" si="60"/>
        <v>3</v>
      </c>
      <c r="Y291" s="2"/>
      <c r="Z291" s="2"/>
      <c r="AA291" s="2" t="str">
        <f t="shared" ca="1" si="69"/>
        <v>OK</v>
      </c>
    </row>
    <row r="292" spans="1:27" x14ac:dyDescent="0.3">
      <c r="A292" s="2" t="s">
        <v>899</v>
      </c>
      <c r="B292" s="2" t="str">
        <f t="shared" si="61"/>
        <v>EMP291</v>
      </c>
      <c r="C292" s="2" t="s">
        <v>81</v>
      </c>
      <c r="D292" s="2" t="str">
        <f t="shared" si="62"/>
        <v>Suresh</v>
      </c>
      <c r="E292" s="2" t="s">
        <v>12</v>
      </c>
      <c r="F292" s="2" t="str">
        <f t="shared" si="63"/>
        <v>IT</v>
      </c>
      <c r="G292" s="6" t="s">
        <v>900</v>
      </c>
      <c r="H292" s="8">
        <f t="shared" si="64"/>
        <v>44788</v>
      </c>
      <c r="I292" s="2" t="s">
        <v>901</v>
      </c>
      <c r="J292" s="3">
        <f t="shared" ca="1" si="65"/>
        <v>45890</v>
      </c>
      <c r="K292" s="2">
        <v>9623206865</v>
      </c>
      <c r="L292" s="2">
        <f t="shared" si="66"/>
        <v>9623206865</v>
      </c>
      <c r="M292" s="2" t="s">
        <v>84</v>
      </c>
      <c r="N292" s="2" t="str">
        <f t="shared" si="67"/>
        <v>ankit@company.com</v>
      </c>
      <c r="O292" s="12">
        <v>83298</v>
      </c>
      <c r="P292" s="2" t="str">
        <f t="shared" si="56"/>
        <v>Above 80K</v>
      </c>
      <c r="Q292" s="2"/>
      <c r="R292" s="2" t="s">
        <v>30</v>
      </c>
      <c r="S292" s="2" t="str">
        <f t="shared" si="57"/>
        <v>M3</v>
      </c>
      <c r="T292" s="2" t="s">
        <v>149</v>
      </c>
      <c r="U292" s="2" t="str">
        <f t="shared" si="68"/>
        <v>ACTIVE</v>
      </c>
      <c r="V292" s="2">
        <f t="shared" ca="1" si="58"/>
        <v>1102</v>
      </c>
      <c r="W292" s="2">
        <f t="shared" ca="1" si="59"/>
        <v>36</v>
      </c>
      <c r="X292" s="2">
        <f t="shared" ca="1" si="60"/>
        <v>3</v>
      </c>
      <c r="Y292" s="2"/>
      <c r="Z292" s="2"/>
      <c r="AA292" s="2" t="str">
        <f t="shared" ca="1" si="69"/>
        <v>OK</v>
      </c>
    </row>
    <row r="293" spans="1:27" x14ac:dyDescent="0.3">
      <c r="A293" s="2" t="s">
        <v>902</v>
      </c>
      <c r="B293" s="2" t="str">
        <f t="shared" si="61"/>
        <v>EMP292</v>
      </c>
      <c r="C293" s="2" t="s">
        <v>104</v>
      </c>
      <c r="D293" s="2" t="str">
        <f t="shared" si="62"/>
        <v>Vikas</v>
      </c>
      <c r="E293" s="2" t="s">
        <v>19</v>
      </c>
      <c r="F293" s="2" t="str">
        <f t="shared" si="63"/>
        <v>FINANCE</v>
      </c>
      <c r="G293" s="6" t="s">
        <v>817</v>
      </c>
      <c r="H293" s="8">
        <f t="shared" si="64"/>
        <v>44130</v>
      </c>
      <c r="I293" s="2" t="s">
        <v>903</v>
      </c>
      <c r="J293" s="3">
        <f t="shared" ca="1" si="65"/>
        <v>44763</v>
      </c>
      <c r="K293" s="2">
        <v>9685575045</v>
      </c>
      <c r="L293" s="2">
        <f t="shared" si="66"/>
        <v>9685575045</v>
      </c>
      <c r="M293" s="2" t="s">
        <v>22</v>
      </c>
      <c r="N293" s="2" t="str">
        <f t="shared" si="67"/>
        <v>pooja@company.com</v>
      </c>
      <c r="O293" s="12">
        <v>30053</v>
      </c>
      <c r="P293" s="2" t="str">
        <f t="shared" si="56"/>
        <v>20K-40K</v>
      </c>
      <c r="Q293" s="2"/>
      <c r="R293" s="2" t="s">
        <v>75</v>
      </c>
      <c r="S293" s="2" t="str">
        <f t="shared" si="57"/>
        <v>M12</v>
      </c>
      <c r="T293" s="2" t="s">
        <v>45</v>
      </c>
      <c r="U293" s="2" t="str">
        <f t="shared" si="68"/>
        <v>RESIGNED</v>
      </c>
      <c r="V293" s="2">
        <f t="shared" ca="1" si="58"/>
        <v>633</v>
      </c>
      <c r="W293" s="2">
        <f t="shared" ca="1" si="59"/>
        <v>20</v>
      </c>
      <c r="X293" s="2">
        <f t="shared" ca="1" si="60"/>
        <v>1</v>
      </c>
      <c r="Y293" s="2"/>
      <c r="Z293" s="2"/>
      <c r="AA293" s="2" t="str">
        <f t="shared" ca="1" si="69"/>
        <v>OK</v>
      </c>
    </row>
    <row r="294" spans="1:27" x14ac:dyDescent="0.3">
      <c r="A294" s="2" t="s">
        <v>904</v>
      </c>
      <c r="B294" s="2" t="str">
        <f t="shared" si="61"/>
        <v>EMP293</v>
      </c>
      <c r="C294" s="2" t="s">
        <v>115</v>
      </c>
      <c r="D294" s="2" t="str">
        <f t="shared" si="62"/>
        <v>Rahul</v>
      </c>
      <c r="E294" s="2" t="s">
        <v>57</v>
      </c>
      <c r="F294" s="2" t="str">
        <f t="shared" si="63"/>
        <v>HR</v>
      </c>
      <c r="G294" s="6" t="s">
        <v>905</v>
      </c>
      <c r="H294" s="8">
        <f t="shared" si="64"/>
        <v>45207</v>
      </c>
      <c r="I294" s="2" t="s">
        <v>906</v>
      </c>
      <c r="J294" s="3">
        <f t="shared" ca="1" si="65"/>
        <v>46313</v>
      </c>
      <c r="K294" s="2">
        <v>9517237392</v>
      </c>
      <c r="L294" s="2">
        <f t="shared" si="66"/>
        <v>9517237392</v>
      </c>
      <c r="M294" s="2" t="s">
        <v>29</v>
      </c>
      <c r="N294" s="2" t="str">
        <f t="shared" si="67"/>
        <v>suresh@company.com</v>
      </c>
      <c r="O294" s="12">
        <v>94340</v>
      </c>
      <c r="P294" s="2" t="str">
        <f t="shared" si="56"/>
        <v>Above 80K</v>
      </c>
      <c r="Q294" s="2"/>
      <c r="R294" s="2" t="s">
        <v>16</v>
      </c>
      <c r="S294" s="2" t="str">
        <f t="shared" si="57"/>
        <v>M4</v>
      </c>
      <c r="T294" s="2" t="s">
        <v>31</v>
      </c>
      <c r="U294" s="2" t="str">
        <f t="shared" si="68"/>
        <v>ON HOLD</v>
      </c>
      <c r="V294" s="2">
        <f t="shared" ca="1" si="58"/>
        <v>1106</v>
      </c>
      <c r="W294" s="2">
        <f t="shared" ca="1" si="59"/>
        <v>36</v>
      </c>
      <c r="X294" s="2">
        <f t="shared" ca="1" si="60"/>
        <v>3</v>
      </c>
      <c r="Y294" s="2"/>
      <c r="Z294" s="2"/>
      <c r="AA294" s="2" t="str">
        <f t="shared" ca="1" si="69"/>
        <v>OK</v>
      </c>
    </row>
    <row r="295" spans="1:27" x14ac:dyDescent="0.3">
      <c r="A295" s="2" t="s">
        <v>907</v>
      </c>
      <c r="B295" s="2" t="str">
        <f t="shared" si="61"/>
        <v>EMP294</v>
      </c>
      <c r="C295" s="2" t="s">
        <v>161</v>
      </c>
      <c r="D295" s="2" t="str">
        <f t="shared" si="62"/>
        <v>Kiran</v>
      </c>
      <c r="E295" s="2" t="s">
        <v>40</v>
      </c>
      <c r="F295" s="2" t="str">
        <f t="shared" si="63"/>
        <v>SALES</v>
      </c>
      <c r="G295" s="6" t="s">
        <v>908</v>
      </c>
      <c r="H295" s="8">
        <f t="shared" si="64"/>
        <v>45199</v>
      </c>
      <c r="I295" s="2"/>
      <c r="J295" s="3">
        <f t="shared" ca="1" si="65"/>
        <v>46024</v>
      </c>
      <c r="K295" s="2">
        <v>9701233989</v>
      </c>
      <c r="L295" s="2">
        <f t="shared" si="66"/>
        <v>9701233989</v>
      </c>
      <c r="M295" s="2" t="s">
        <v>43</v>
      </c>
      <c r="N295" s="2" t="str">
        <f t="shared" si="67"/>
        <v>ravi@company.com</v>
      </c>
      <c r="O295" s="12">
        <v>86839</v>
      </c>
      <c r="P295" s="2" t="str">
        <f t="shared" si="56"/>
        <v>Above 80K</v>
      </c>
      <c r="Q295" s="2"/>
      <c r="R295" s="2" t="s">
        <v>44</v>
      </c>
      <c r="S295" s="2" t="str">
        <f t="shared" si="57"/>
        <v>M9</v>
      </c>
      <c r="T295" s="2" t="s">
        <v>37</v>
      </c>
      <c r="U295" s="2" t="str">
        <f t="shared" si="68"/>
        <v>ACTIVE</v>
      </c>
      <c r="V295" s="2">
        <f t="shared" ca="1" si="58"/>
        <v>825</v>
      </c>
      <c r="W295" s="2">
        <f t="shared" ca="1" si="59"/>
        <v>27</v>
      </c>
      <c r="X295" s="2">
        <f t="shared" ca="1" si="60"/>
        <v>2</v>
      </c>
      <c r="Y295" s="2"/>
      <c r="Z295" s="2"/>
      <c r="AA295" s="2" t="str">
        <f t="shared" ca="1" si="69"/>
        <v>OK</v>
      </c>
    </row>
    <row r="296" spans="1:27" x14ac:dyDescent="0.3">
      <c r="A296" s="2" t="s">
        <v>909</v>
      </c>
      <c r="B296" s="2" t="str">
        <f t="shared" si="61"/>
        <v>EMP295</v>
      </c>
      <c r="C296" s="2" t="s">
        <v>81</v>
      </c>
      <c r="D296" s="2" t="str">
        <f t="shared" si="62"/>
        <v>Suresh</v>
      </c>
      <c r="E296" s="2" t="s">
        <v>33</v>
      </c>
      <c r="F296" s="2" t="str">
        <f t="shared" si="63"/>
        <v>IT</v>
      </c>
      <c r="G296" s="6" t="s">
        <v>910</v>
      </c>
      <c r="H296" s="8">
        <f t="shared" si="64"/>
        <v>44386</v>
      </c>
      <c r="I296" s="2" t="s">
        <v>911</v>
      </c>
      <c r="J296" s="3">
        <f t="shared" ca="1" si="65"/>
        <v>45684</v>
      </c>
      <c r="K296" s="2">
        <v>9722925154</v>
      </c>
      <c r="L296" s="2">
        <f t="shared" si="66"/>
        <v>9722925154</v>
      </c>
      <c r="M296" s="2" t="s">
        <v>22</v>
      </c>
      <c r="N296" s="2" t="str">
        <f t="shared" si="67"/>
        <v>pooja@company.com</v>
      </c>
      <c r="O296" s="12">
        <v>50237</v>
      </c>
      <c r="P296" s="2" t="str">
        <f t="shared" si="56"/>
        <v>40K-60K</v>
      </c>
      <c r="Q296" s="2"/>
      <c r="R296" s="2" t="s">
        <v>55</v>
      </c>
      <c r="S296" s="2" t="str">
        <f t="shared" si="57"/>
        <v>M2</v>
      </c>
      <c r="T296" s="2" t="s">
        <v>45</v>
      </c>
      <c r="U296" s="2" t="str">
        <f t="shared" si="68"/>
        <v>RESIGNED</v>
      </c>
      <c r="V296" s="2">
        <f t="shared" ca="1" si="58"/>
        <v>1298</v>
      </c>
      <c r="W296" s="2">
        <f t="shared" ca="1" si="59"/>
        <v>42</v>
      </c>
      <c r="X296" s="2">
        <f t="shared" ca="1" si="60"/>
        <v>3</v>
      </c>
      <c r="Y296" s="2"/>
      <c r="Z296" s="2"/>
      <c r="AA296" s="2" t="str">
        <f t="shared" ca="1" si="69"/>
        <v>OK</v>
      </c>
    </row>
    <row r="297" spans="1:27" x14ac:dyDescent="0.3">
      <c r="A297" s="2" t="s">
        <v>912</v>
      </c>
      <c r="B297" s="2" t="str">
        <f t="shared" si="61"/>
        <v>EMP296</v>
      </c>
      <c r="C297" s="2" t="s">
        <v>115</v>
      </c>
      <c r="D297" s="2" t="str">
        <f t="shared" si="62"/>
        <v>Rahul</v>
      </c>
      <c r="E297" s="2" t="s">
        <v>33</v>
      </c>
      <c r="F297" s="2" t="str">
        <f t="shared" si="63"/>
        <v>IT</v>
      </c>
      <c r="G297" s="6" t="s">
        <v>913</v>
      </c>
      <c r="H297" s="8">
        <f t="shared" si="64"/>
        <v>44599</v>
      </c>
      <c r="I297" s="2" t="s">
        <v>914</v>
      </c>
      <c r="J297" s="3">
        <f t="shared" ca="1" si="65"/>
        <v>45725</v>
      </c>
      <c r="K297" s="2">
        <v>9540888252</v>
      </c>
      <c r="L297" s="2">
        <f t="shared" si="66"/>
        <v>9540888252</v>
      </c>
      <c r="M297" s="2" t="s">
        <v>209</v>
      </c>
      <c r="N297" s="2" t="str">
        <f t="shared" si="67"/>
        <v>sunita@gmail.com</v>
      </c>
      <c r="O297" s="12">
        <v>28566</v>
      </c>
      <c r="P297" s="2" t="str">
        <f t="shared" si="56"/>
        <v>20K-40K</v>
      </c>
      <c r="Q297" s="2"/>
      <c r="R297" s="2" t="s">
        <v>75</v>
      </c>
      <c r="S297" s="2" t="str">
        <f t="shared" si="57"/>
        <v>M12</v>
      </c>
      <c r="T297" s="2" t="s">
        <v>149</v>
      </c>
      <c r="U297" s="2" t="str">
        <f t="shared" si="68"/>
        <v>ACTIVE</v>
      </c>
      <c r="V297" s="2">
        <f t="shared" ca="1" si="58"/>
        <v>1126</v>
      </c>
      <c r="W297" s="2">
        <f t="shared" ca="1" si="59"/>
        <v>37</v>
      </c>
      <c r="X297" s="2">
        <f t="shared" ca="1" si="60"/>
        <v>3</v>
      </c>
      <c r="Y297" s="2"/>
      <c r="Z297" s="2"/>
      <c r="AA297" s="2" t="str">
        <f t="shared" ca="1" si="69"/>
        <v>OK</v>
      </c>
    </row>
    <row r="298" spans="1:27" x14ac:dyDescent="0.3">
      <c r="A298" s="2" t="s">
        <v>915</v>
      </c>
      <c r="B298" s="2" t="str">
        <f t="shared" si="61"/>
        <v>EMP297</v>
      </c>
      <c r="C298" s="2" t="s">
        <v>63</v>
      </c>
      <c r="D298" s="2" t="str">
        <f t="shared" si="62"/>
        <v>Pooja</v>
      </c>
      <c r="E298" s="2" t="s">
        <v>26</v>
      </c>
      <c r="F298" s="2" t="str">
        <f t="shared" si="63"/>
        <v>HR</v>
      </c>
      <c r="G298" s="6" t="s">
        <v>916</v>
      </c>
      <c r="H298" s="8">
        <f t="shared" si="64"/>
        <v>43941</v>
      </c>
      <c r="I298" s="2" t="s">
        <v>917</v>
      </c>
      <c r="J298" s="3">
        <f t="shared" ca="1" si="65"/>
        <v>45028</v>
      </c>
      <c r="K298" s="2">
        <v>9373955065</v>
      </c>
      <c r="L298" s="2">
        <f t="shared" si="66"/>
        <v>9373955065</v>
      </c>
      <c r="M298" s="2" t="s">
        <v>29</v>
      </c>
      <c r="N298" s="2" t="str">
        <f t="shared" si="67"/>
        <v>suresh@company.com</v>
      </c>
      <c r="O298" s="12">
        <v>40288</v>
      </c>
      <c r="P298" s="2" t="str">
        <f t="shared" si="56"/>
        <v>40K-60K</v>
      </c>
      <c r="Q298" s="2"/>
      <c r="R298" s="2" t="s">
        <v>467</v>
      </c>
      <c r="S298" s="2" t="str">
        <f t="shared" si="57"/>
        <v>M24</v>
      </c>
      <c r="T298" s="2" t="s">
        <v>37</v>
      </c>
      <c r="U298" s="2" t="str">
        <f t="shared" si="68"/>
        <v>ACTIVE</v>
      </c>
      <c r="V298" s="2">
        <f t="shared" ca="1" si="58"/>
        <v>1087</v>
      </c>
      <c r="W298" s="2">
        <f t="shared" ca="1" si="59"/>
        <v>35</v>
      </c>
      <c r="X298" s="2">
        <f t="shared" ca="1" si="60"/>
        <v>2</v>
      </c>
      <c r="Y298" s="2"/>
      <c r="Z298" s="2"/>
      <c r="AA298" s="2" t="str">
        <f t="shared" ca="1" si="69"/>
        <v>OK</v>
      </c>
    </row>
    <row r="299" spans="1:27" x14ac:dyDescent="0.3">
      <c r="A299" s="2" t="s">
        <v>918</v>
      </c>
      <c r="B299" s="2" t="str">
        <f t="shared" si="61"/>
        <v>EMP298</v>
      </c>
      <c r="C299" s="2" t="s">
        <v>115</v>
      </c>
      <c r="D299" s="2" t="str">
        <f t="shared" si="62"/>
        <v>Rahul</v>
      </c>
      <c r="E299" s="2" t="s">
        <v>129</v>
      </c>
      <c r="F299" s="2" t="str">
        <f t="shared" si="63"/>
        <v>SALES</v>
      </c>
      <c r="G299" s="6" t="s">
        <v>919</v>
      </c>
      <c r="H299" s="8">
        <f t="shared" si="64"/>
        <v>45098</v>
      </c>
      <c r="I299" s="2" t="s">
        <v>920</v>
      </c>
      <c r="J299" s="3">
        <f t="shared" ca="1" si="65"/>
        <v>46416</v>
      </c>
      <c r="K299" s="2">
        <v>9111465155</v>
      </c>
      <c r="L299" s="2">
        <f t="shared" si="66"/>
        <v>9111465155</v>
      </c>
      <c r="M299" s="2" t="s">
        <v>51</v>
      </c>
      <c r="N299" s="2" t="str">
        <f t="shared" si="67"/>
        <v>kiran@company.com</v>
      </c>
      <c r="O299" s="12">
        <v>56309</v>
      </c>
      <c r="P299" s="2" t="str">
        <f t="shared" si="56"/>
        <v>40K-60K</v>
      </c>
      <c r="Q299" s="2"/>
      <c r="R299" s="2" t="s">
        <v>135</v>
      </c>
      <c r="S299" s="2" t="str">
        <f t="shared" si="57"/>
        <v>M15</v>
      </c>
      <c r="T299" s="2" t="s">
        <v>37</v>
      </c>
      <c r="U299" s="2" t="str">
        <f t="shared" si="68"/>
        <v>ACTIVE</v>
      </c>
      <c r="V299" s="2">
        <f t="shared" ca="1" si="58"/>
        <v>1318</v>
      </c>
      <c r="W299" s="2">
        <f t="shared" ca="1" si="59"/>
        <v>43</v>
      </c>
      <c r="X299" s="2">
        <f t="shared" ca="1" si="60"/>
        <v>3</v>
      </c>
      <c r="Y299" s="2"/>
      <c r="Z299" s="2"/>
      <c r="AA299" s="2" t="str">
        <f t="shared" ca="1" si="69"/>
        <v>OK</v>
      </c>
    </row>
    <row r="300" spans="1:27" x14ac:dyDescent="0.3">
      <c r="A300" s="2" t="s">
        <v>921</v>
      </c>
      <c r="B300" s="2" t="str">
        <f t="shared" si="61"/>
        <v>EMP299</v>
      </c>
      <c r="C300" s="2" t="s">
        <v>47</v>
      </c>
      <c r="D300" s="2" t="str">
        <f t="shared" si="62"/>
        <v>Sunita</v>
      </c>
      <c r="E300" s="2" t="s">
        <v>40</v>
      </c>
      <c r="F300" s="2" t="str">
        <f t="shared" si="63"/>
        <v>SALES</v>
      </c>
      <c r="G300" s="6" t="s">
        <v>922</v>
      </c>
      <c r="H300" s="8">
        <f t="shared" si="64"/>
        <v>45071</v>
      </c>
      <c r="I300" s="2" t="s">
        <v>566</v>
      </c>
      <c r="J300" s="3">
        <f t="shared" ca="1" si="65"/>
        <v>46326</v>
      </c>
      <c r="K300" s="2">
        <v>9782757973</v>
      </c>
      <c r="L300" s="2">
        <f t="shared" si="66"/>
        <v>9782757973</v>
      </c>
      <c r="M300" s="2" t="s">
        <v>51</v>
      </c>
      <c r="N300" s="2" t="str">
        <f t="shared" si="67"/>
        <v>kiran@company.com</v>
      </c>
      <c r="O300" s="12">
        <v>77449</v>
      </c>
      <c r="P300" s="2" t="str">
        <f t="shared" si="56"/>
        <v>60K-80K</v>
      </c>
      <c r="Q300" s="2"/>
      <c r="R300" s="2" t="s">
        <v>186</v>
      </c>
      <c r="S300" s="2" t="str">
        <f t="shared" si="57"/>
        <v>M11</v>
      </c>
      <c r="T300" s="2" t="s">
        <v>17</v>
      </c>
      <c r="U300" s="2" t="str">
        <f t="shared" si="68"/>
        <v>RESIGNED</v>
      </c>
      <c r="V300" s="2">
        <f t="shared" ca="1" si="58"/>
        <v>1255</v>
      </c>
      <c r="W300" s="2">
        <f t="shared" ca="1" si="59"/>
        <v>41</v>
      </c>
      <c r="X300" s="2">
        <f t="shared" ca="1" si="60"/>
        <v>3</v>
      </c>
      <c r="Y300" s="2"/>
      <c r="Z300" s="2"/>
      <c r="AA300" s="2" t="str">
        <f t="shared" ca="1" si="69"/>
        <v>OK</v>
      </c>
    </row>
    <row r="301" spans="1:27" x14ac:dyDescent="0.3">
      <c r="A301" s="2" t="s">
        <v>923</v>
      </c>
      <c r="B301" s="2" t="str">
        <f t="shared" si="61"/>
        <v>EMP300</v>
      </c>
      <c r="C301" s="2" t="s">
        <v>25</v>
      </c>
      <c r="D301" s="2" t="str">
        <f t="shared" si="62"/>
        <v>Ankit</v>
      </c>
      <c r="E301" s="2" t="s">
        <v>40</v>
      </c>
      <c r="F301" s="2" t="str">
        <f t="shared" si="63"/>
        <v>SALES</v>
      </c>
      <c r="G301" s="6" t="s">
        <v>924</v>
      </c>
      <c r="H301" s="8">
        <f t="shared" si="64"/>
        <v>43888</v>
      </c>
      <c r="I301" s="2" t="s">
        <v>925</v>
      </c>
      <c r="J301" s="3">
        <f t="shared" ca="1" si="65"/>
        <v>44884</v>
      </c>
      <c r="K301" s="2">
        <v>9346875401</v>
      </c>
      <c r="L301" s="2">
        <f t="shared" si="66"/>
        <v>9346875401</v>
      </c>
      <c r="M301" s="2" t="s">
        <v>36</v>
      </c>
      <c r="N301" s="2" t="str">
        <f t="shared" si="67"/>
        <v>neha@company.com</v>
      </c>
      <c r="O301" s="12">
        <v>58738</v>
      </c>
      <c r="P301" s="2" t="str">
        <f t="shared" si="56"/>
        <v>40K-60K</v>
      </c>
      <c r="Q301" s="2"/>
      <c r="R301" s="2" t="s">
        <v>186</v>
      </c>
      <c r="S301" s="2" t="str">
        <f t="shared" si="57"/>
        <v>M11</v>
      </c>
      <c r="T301" s="2" t="s">
        <v>149</v>
      </c>
      <c r="U301" s="2" t="str">
        <f t="shared" si="68"/>
        <v>ACTIVE</v>
      </c>
      <c r="V301" s="2">
        <f t="shared" ca="1" si="58"/>
        <v>996</v>
      </c>
      <c r="W301" s="2">
        <f t="shared" ca="1" si="59"/>
        <v>32</v>
      </c>
      <c r="X301" s="2">
        <f t="shared" ca="1" si="60"/>
        <v>2</v>
      </c>
      <c r="Y301" s="2"/>
      <c r="Z301" s="2"/>
      <c r="AA301" s="2" t="str">
        <f t="shared" ca="1" si="69"/>
        <v>OK</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F861-0A66-4F58-A71E-99A381440752}">
  <dimension ref="A1:AA301"/>
  <sheetViews>
    <sheetView zoomScale="70" zoomScaleNormal="70" workbookViewId="0">
      <selection activeCell="K11" sqref="K11"/>
    </sheetView>
  </sheetViews>
  <sheetFormatPr defaultRowHeight="14.4" x14ac:dyDescent="0.3"/>
  <cols>
    <col min="1" max="1" width="15.33203125" bestFit="1" customWidth="1"/>
    <col min="2" max="2" width="19.6640625" bestFit="1" customWidth="1"/>
    <col min="3" max="3" width="21.109375" bestFit="1" customWidth="1"/>
    <col min="4" max="4" width="17.77734375" bestFit="1" customWidth="1"/>
    <col min="5" max="5" width="17.5546875" bestFit="1" customWidth="1"/>
    <col min="6" max="6" width="19.33203125" bestFit="1" customWidth="1"/>
    <col min="7" max="7" width="21.21875" bestFit="1" customWidth="1"/>
    <col min="8" max="8" width="11.33203125" bestFit="1" customWidth="1"/>
    <col min="9" max="9" width="15.21875" bestFit="1" customWidth="1"/>
    <col min="10" max="14" width="22.44140625" bestFit="1" customWidth="1"/>
    <col min="15" max="15" width="20.44140625" bestFit="1" customWidth="1"/>
    <col min="16" max="16" width="14.5546875" bestFit="1" customWidth="1"/>
    <col min="17" max="17" width="18.6640625" bestFit="1" customWidth="1"/>
    <col min="18" max="18" width="22.21875" bestFit="1" customWidth="1"/>
    <col min="19" max="19" width="19.44140625" bestFit="1" customWidth="1"/>
    <col min="20" max="20" width="17.109375" bestFit="1" customWidth="1"/>
    <col min="21" max="21" width="14.109375" bestFit="1" customWidth="1"/>
    <col min="22" max="22" width="16.33203125" bestFit="1" customWidth="1"/>
    <col min="23" max="23" width="26.77734375" style="10" bestFit="1" customWidth="1"/>
    <col min="24" max="24" width="27.5546875" bestFit="1" customWidth="1"/>
    <col min="25" max="25" width="17.88671875" style="13" bestFit="1" customWidth="1"/>
    <col min="26" max="26" width="18.21875" style="13" bestFit="1" customWidth="1"/>
    <col min="27" max="27" width="27.77734375" bestFit="1" customWidth="1"/>
  </cols>
  <sheetData>
    <row r="1" spans="1:27" s="31" customFormat="1" ht="36" x14ac:dyDescent="0.3">
      <c r="A1" s="24" t="s">
        <v>926</v>
      </c>
      <c r="B1" s="24" t="s">
        <v>927</v>
      </c>
      <c r="C1" s="24" t="s">
        <v>928</v>
      </c>
      <c r="D1" s="25" t="s">
        <v>931</v>
      </c>
      <c r="E1" s="24" t="s">
        <v>933</v>
      </c>
      <c r="F1" s="24" t="s">
        <v>934</v>
      </c>
      <c r="G1" s="24" t="s">
        <v>929</v>
      </c>
      <c r="H1" s="24" t="s">
        <v>7</v>
      </c>
      <c r="I1" s="26" t="s">
        <v>941</v>
      </c>
      <c r="J1" s="27" t="s">
        <v>956</v>
      </c>
      <c r="K1" s="27" t="s">
        <v>953</v>
      </c>
      <c r="L1" s="27" t="s">
        <v>954</v>
      </c>
      <c r="M1" s="27" t="s">
        <v>955</v>
      </c>
      <c r="N1" s="27" t="s">
        <v>957</v>
      </c>
      <c r="O1" s="24" t="s">
        <v>930</v>
      </c>
      <c r="P1" s="24" t="s">
        <v>932</v>
      </c>
      <c r="Q1" s="28" t="s">
        <v>935</v>
      </c>
      <c r="R1" s="28" t="s">
        <v>937</v>
      </c>
      <c r="S1" s="28" t="s">
        <v>936</v>
      </c>
      <c r="T1" s="29" t="s">
        <v>938</v>
      </c>
      <c r="U1" s="29" t="s">
        <v>939</v>
      </c>
      <c r="V1" s="29" t="s">
        <v>940</v>
      </c>
      <c r="W1" s="37" t="s">
        <v>948</v>
      </c>
      <c r="X1" s="30" t="s">
        <v>949</v>
      </c>
      <c r="Y1" s="34" t="s">
        <v>958</v>
      </c>
      <c r="Z1" s="34" t="s">
        <v>959</v>
      </c>
      <c r="AA1" s="30" t="s">
        <v>952</v>
      </c>
    </row>
    <row r="2" spans="1:27" x14ac:dyDescent="0.3">
      <c r="A2" s="2" t="str">
        <f>Messy_Data!B2</f>
        <v>EMP1</v>
      </c>
      <c r="B2" s="2" t="str">
        <f>Messy_Data!D2</f>
        <v>Ravi</v>
      </c>
      <c r="C2" s="2" t="str">
        <f>Messy_Data!F2</f>
        <v>IT</v>
      </c>
      <c r="D2" s="3">
        <f>Messy_Data!H2</f>
        <v>44578</v>
      </c>
      <c r="E2" s="3">
        <f ca="1">Messy_Data!J2</f>
        <v>45720</v>
      </c>
      <c r="F2" s="2">
        <f>Messy_Data!L2</f>
        <v>9878481087</v>
      </c>
      <c r="G2" s="2" t="str">
        <f>Messy_Data!N2</f>
        <v>amit@company.com</v>
      </c>
      <c r="H2" s="12">
        <f>Messy_Data!O2</f>
        <v>16661</v>
      </c>
      <c r="I2" s="2" t="str">
        <f>Messy_Data!P2</f>
        <v>Below 20K</v>
      </c>
      <c r="J2" s="2">
        <f>Messy_Data!Q3</f>
        <v>38</v>
      </c>
      <c r="K2" s="2">
        <f>Messy_Data!Q6</f>
        <v>76</v>
      </c>
      <c r="L2" s="2">
        <f>Messy_Data!Q9</f>
        <v>66</v>
      </c>
      <c r="M2" s="2">
        <f>Messy_Data!Q12</f>
        <v>69</v>
      </c>
      <c r="N2" s="2">
        <f>Messy_Data!Q15</f>
        <v>51</v>
      </c>
      <c r="O2" s="2" t="str">
        <f>Messy_Data!S2</f>
        <v>M4</v>
      </c>
      <c r="P2" s="2" t="str">
        <f>Messy_Data!U2</f>
        <v>RESIGNED</v>
      </c>
      <c r="Q2" s="2">
        <f ca="1">Messy_Data!V2</f>
        <v>1142</v>
      </c>
      <c r="R2" s="2">
        <f ca="1">Messy_Data!W2</f>
        <v>37</v>
      </c>
      <c r="S2" s="2">
        <f ca="1">Messy_Data!X2</f>
        <v>3</v>
      </c>
      <c r="T2" s="2">
        <f>Messy_Data!Y2</f>
        <v>120</v>
      </c>
      <c r="U2" s="2">
        <f>Messy_Data!Y5</f>
        <v>105</v>
      </c>
      <c r="V2" s="2">
        <f>Messy_Data!Y8</f>
        <v>75</v>
      </c>
      <c r="W2" s="9">
        <f ca="1">Messy_Data!Z2</f>
        <v>1.9166666666666667</v>
      </c>
      <c r="X2" s="2">
        <f ca="1">Messy_Data!Z5</f>
        <v>29.066666666666666</v>
      </c>
      <c r="Y2" s="12">
        <f>Messy_Data!Z8</f>
        <v>94569</v>
      </c>
      <c r="Z2" s="12">
        <f>Messy_Data!Z11</f>
        <v>94195</v>
      </c>
      <c r="AA2" s="2" t="str">
        <f ca="1">Messy_Data!AA2</f>
        <v>OK</v>
      </c>
    </row>
    <row r="3" spans="1:27" x14ac:dyDescent="0.3">
      <c r="A3" s="2" t="str">
        <f>Messy_Data!B3</f>
        <v>EMP2</v>
      </c>
      <c r="B3" s="2" t="str">
        <f>Messy_Data!D3</f>
        <v>Ravi</v>
      </c>
      <c r="C3" s="2" t="str">
        <f>Messy_Data!F3</f>
        <v>FINANCE</v>
      </c>
      <c r="D3" s="3">
        <f>Messy_Data!H3</f>
        <v>45151</v>
      </c>
      <c r="E3" s="3">
        <f ca="1">Messy_Data!J3</f>
        <v>45245</v>
      </c>
      <c r="F3" s="2">
        <f>Messy_Data!L3</f>
        <v>9377218497</v>
      </c>
      <c r="G3" s="2" t="str">
        <f>Messy_Data!N3</f>
        <v>pooja@company.com</v>
      </c>
      <c r="H3" s="12">
        <f>Messy_Data!O3</f>
        <v>66881</v>
      </c>
      <c r="I3" s="2" t="str">
        <f>Messy_Data!P3</f>
        <v>60K-80K</v>
      </c>
      <c r="J3" s="2"/>
      <c r="K3" s="2"/>
      <c r="L3" s="2"/>
      <c r="M3" s="2"/>
      <c r="N3" s="2"/>
      <c r="O3" s="2" t="str">
        <f>Messy_Data!S3</f>
        <v>M8</v>
      </c>
      <c r="P3" s="2" t="str">
        <f>Messy_Data!U3</f>
        <v>RESIGNED</v>
      </c>
      <c r="Q3" s="2">
        <f ca="1">Messy_Data!V3</f>
        <v>94</v>
      </c>
      <c r="R3" s="2">
        <f ca="1">Messy_Data!W3</f>
        <v>3</v>
      </c>
      <c r="S3" s="2">
        <f ca="1">Messy_Data!X3</f>
        <v>0</v>
      </c>
      <c r="T3" s="2"/>
      <c r="U3" s="2"/>
      <c r="V3" s="2"/>
      <c r="W3" s="9"/>
      <c r="X3" s="2"/>
      <c r="Y3" s="12"/>
      <c r="Z3" s="12"/>
      <c r="AA3" s="2" t="str">
        <f ca="1">Messy_Data!AA3</f>
        <v>OK</v>
      </c>
    </row>
    <row r="4" spans="1:27" ht="18" x14ac:dyDescent="0.35">
      <c r="A4" s="2" t="str">
        <f>Messy_Data!B4</f>
        <v>EMP3</v>
      </c>
      <c r="B4" s="2" t="str">
        <f>Messy_Data!D4</f>
        <v>Ankit</v>
      </c>
      <c r="C4" s="2" t="str">
        <f>Messy_Data!F4</f>
        <v>HR</v>
      </c>
      <c r="D4" s="3">
        <f>Messy_Data!H4</f>
        <v>44890</v>
      </c>
      <c r="E4" s="3">
        <f ca="1">Messy_Data!J4</f>
        <v>44997</v>
      </c>
      <c r="F4" s="2">
        <f>Messy_Data!L4</f>
        <v>9595920356</v>
      </c>
      <c r="G4" s="2" t="str">
        <f>Messy_Data!N4</f>
        <v>suresh@company.com</v>
      </c>
      <c r="H4" s="12">
        <f>Messy_Data!O4</f>
        <v>86913</v>
      </c>
      <c r="I4" s="2" t="str">
        <f>Messy_Data!P4</f>
        <v>Above 80K</v>
      </c>
      <c r="J4" s="2"/>
      <c r="K4" s="2"/>
      <c r="L4" s="2"/>
      <c r="M4" s="2"/>
      <c r="N4" s="2"/>
      <c r="O4" s="2" t="str">
        <f>Messy_Data!S4</f>
        <v>M3</v>
      </c>
      <c r="P4" s="2" t="str">
        <f>Messy_Data!U4</f>
        <v>ON HOLD</v>
      </c>
      <c r="Q4" s="2">
        <f ca="1">Messy_Data!V4</f>
        <v>107</v>
      </c>
      <c r="R4" s="2">
        <f ca="1">Messy_Data!W4</f>
        <v>3</v>
      </c>
      <c r="S4" s="2">
        <f ca="1">Messy_Data!X4</f>
        <v>0</v>
      </c>
      <c r="T4" s="2"/>
      <c r="U4" s="33"/>
      <c r="V4" s="33"/>
      <c r="W4" s="9"/>
      <c r="X4" s="35"/>
      <c r="Y4" s="36"/>
      <c r="Z4" s="36"/>
      <c r="AA4" s="2" t="str">
        <f ca="1">Messy_Data!AA4</f>
        <v>CHECK</v>
      </c>
    </row>
    <row r="5" spans="1:27" x14ac:dyDescent="0.3">
      <c r="A5" s="2" t="str">
        <f>Messy_Data!B5</f>
        <v>EMP4</v>
      </c>
      <c r="B5" s="2" t="str">
        <f>Messy_Data!D5</f>
        <v>Ravi</v>
      </c>
      <c r="C5" s="2" t="str">
        <f>Messy_Data!F5</f>
        <v>IT</v>
      </c>
      <c r="D5" s="3">
        <f>Messy_Data!H5</f>
        <v>44088</v>
      </c>
      <c r="E5" s="3">
        <f ca="1">Messy_Data!J5</f>
        <v>44598</v>
      </c>
      <c r="F5" s="2">
        <f>Messy_Data!L5</f>
        <v>9941224943</v>
      </c>
      <c r="G5" s="2" t="str">
        <f>Messy_Data!N5</f>
        <v>neha@company.com</v>
      </c>
      <c r="H5" s="12">
        <f>Messy_Data!O5</f>
        <v>33885</v>
      </c>
      <c r="I5" s="2" t="str">
        <f>Messy_Data!P5</f>
        <v>20K-40K</v>
      </c>
      <c r="J5" s="32"/>
      <c r="K5" s="32"/>
      <c r="L5" s="32"/>
      <c r="M5" s="32"/>
      <c r="N5" s="32"/>
      <c r="O5" s="2" t="str">
        <f>Messy_Data!S5</f>
        <v>M8</v>
      </c>
      <c r="P5" s="2" t="str">
        <f>Messy_Data!U5</f>
        <v>ACTIVE</v>
      </c>
      <c r="Q5" s="2">
        <f ca="1">Messy_Data!V5</f>
        <v>510</v>
      </c>
      <c r="R5" s="2">
        <f ca="1">Messy_Data!W5</f>
        <v>16</v>
      </c>
      <c r="S5" s="2">
        <f ca="1">Messy_Data!X5</f>
        <v>1</v>
      </c>
      <c r="T5" s="2"/>
      <c r="U5" s="2"/>
      <c r="V5" s="2"/>
      <c r="W5" s="9"/>
      <c r="X5" s="2"/>
      <c r="Y5" s="12"/>
      <c r="Z5" s="12"/>
      <c r="AA5" s="2" t="str">
        <f ca="1">Messy_Data!AA5</f>
        <v>OK</v>
      </c>
    </row>
    <row r="6" spans="1:27" x14ac:dyDescent="0.3">
      <c r="A6" s="2" t="str">
        <f>Messy_Data!B6</f>
        <v>EMP5</v>
      </c>
      <c r="B6" s="2" t="str">
        <f>Messy_Data!D6</f>
        <v>Amit</v>
      </c>
      <c r="C6" s="2" t="str">
        <f>Messy_Data!F6</f>
        <v>SALES</v>
      </c>
      <c r="D6" s="3">
        <f>Messy_Data!H6</f>
        <v>44516</v>
      </c>
      <c r="E6" s="3">
        <f ca="1">Messy_Data!J6</f>
        <v>45889</v>
      </c>
      <c r="F6" s="2">
        <f>Messy_Data!L6</f>
        <v>9245370465</v>
      </c>
      <c r="G6" s="2" t="str">
        <f>Messy_Data!N6</f>
        <v>ravi@company.com</v>
      </c>
      <c r="H6" s="12">
        <f>Messy_Data!O6</f>
        <v>94504</v>
      </c>
      <c r="I6" s="2" t="str">
        <f>Messy_Data!P6</f>
        <v>Above 80K</v>
      </c>
      <c r="J6" s="2"/>
      <c r="K6" s="2"/>
      <c r="L6" s="2"/>
      <c r="M6" s="2"/>
      <c r="N6" s="2"/>
      <c r="O6" s="2" t="str">
        <f>Messy_Data!S6</f>
        <v>M9</v>
      </c>
      <c r="P6" s="2" t="str">
        <f>Messy_Data!U6</f>
        <v>RESIGNED</v>
      </c>
      <c r="Q6" s="2">
        <f ca="1">Messy_Data!V6</f>
        <v>1373</v>
      </c>
      <c r="R6" s="2">
        <f ca="1">Messy_Data!W6</f>
        <v>45</v>
      </c>
      <c r="S6" s="2">
        <f ca="1">Messy_Data!X6</f>
        <v>3</v>
      </c>
      <c r="T6" s="2"/>
      <c r="U6" s="2"/>
      <c r="V6" s="2"/>
      <c r="W6" s="9"/>
      <c r="X6" s="2"/>
      <c r="Y6" s="12"/>
      <c r="Z6" s="12"/>
      <c r="AA6" s="2" t="str">
        <f ca="1">Messy_Data!AA6</f>
        <v>OK</v>
      </c>
    </row>
    <row r="7" spans="1:27" ht="18" x14ac:dyDescent="0.35">
      <c r="A7" s="2" t="str">
        <f>Messy_Data!B7</f>
        <v>EMP6</v>
      </c>
      <c r="B7" s="2" t="str">
        <f>Messy_Data!D7</f>
        <v>Sunita</v>
      </c>
      <c r="C7" s="2" t="str">
        <f>Messy_Data!F7</f>
        <v>FINANCE</v>
      </c>
      <c r="D7" s="3">
        <f>Messy_Data!H7</f>
        <v>43744</v>
      </c>
      <c r="E7" s="3">
        <f ca="1">Messy_Data!J7</f>
        <v>43898</v>
      </c>
      <c r="F7" s="2">
        <f>Messy_Data!L7</f>
        <v>9349938125</v>
      </c>
      <c r="G7" s="2" t="str">
        <f>Messy_Data!N7</f>
        <v>kiran@company.com</v>
      </c>
      <c r="H7" s="12">
        <f>Messy_Data!O7</f>
        <v>49791</v>
      </c>
      <c r="I7" s="2" t="str">
        <f>Messy_Data!P7</f>
        <v>40K-60K</v>
      </c>
      <c r="J7" s="2"/>
      <c r="K7" s="2"/>
      <c r="L7" s="2"/>
      <c r="M7" s="2"/>
      <c r="N7" s="2"/>
      <c r="O7" s="2" t="str">
        <f>Messy_Data!S7</f>
        <v>M16</v>
      </c>
      <c r="P7" s="2" t="str">
        <f>Messy_Data!U7</f>
        <v>RESIGNED</v>
      </c>
      <c r="Q7" s="2">
        <f ca="1">Messy_Data!V7</f>
        <v>154</v>
      </c>
      <c r="R7" s="2">
        <f ca="1">Messy_Data!W7</f>
        <v>5</v>
      </c>
      <c r="S7" s="2">
        <f ca="1">Messy_Data!X7</f>
        <v>0</v>
      </c>
      <c r="T7" s="2"/>
      <c r="U7" s="33"/>
      <c r="V7" s="33"/>
      <c r="W7" s="9"/>
      <c r="X7" s="35"/>
      <c r="Y7" s="36"/>
      <c r="Z7" s="36"/>
      <c r="AA7" s="2" t="str">
        <f ca="1">Messy_Data!AA7</f>
        <v>OK</v>
      </c>
    </row>
    <row r="8" spans="1:27" x14ac:dyDescent="0.3">
      <c r="A8" s="2" t="str">
        <f>Messy_Data!B8</f>
        <v>EMP7</v>
      </c>
      <c r="B8" s="2" t="str">
        <f>Messy_Data!D8</f>
        <v>Ravi</v>
      </c>
      <c r="C8" s="2" t="str">
        <f>Messy_Data!F8</f>
        <v>FINANCE</v>
      </c>
      <c r="D8" s="3">
        <f>Messy_Data!H8</f>
        <v>44214</v>
      </c>
      <c r="E8" s="3">
        <f ca="1">Messy_Data!J8</f>
        <v>46024</v>
      </c>
      <c r="F8" s="2">
        <f>Messy_Data!L8</f>
        <v>9900001110</v>
      </c>
      <c r="G8" s="2" t="str">
        <f>Messy_Data!N8</f>
        <v>kiran@company.com</v>
      </c>
      <c r="H8" s="12">
        <f>Messy_Data!O8</f>
        <v>86686</v>
      </c>
      <c r="I8" s="2" t="str">
        <f>Messy_Data!P8</f>
        <v>Above 80K</v>
      </c>
      <c r="J8" s="2"/>
      <c r="K8" s="2"/>
      <c r="L8" s="2"/>
      <c r="M8" s="2"/>
      <c r="N8" s="2"/>
      <c r="O8" s="2" t="str">
        <f>Messy_Data!S8</f>
        <v>M2</v>
      </c>
      <c r="P8" s="2" t="str">
        <f>Messy_Data!U8</f>
        <v>RESIGNED</v>
      </c>
      <c r="Q8" s="2">
        <f ca="1">Messy_Data!V8</f>
        <v>1810</v>
      </c>
      <c r="R8" s="2">
        <f ca="1">Messy_Data!W8</f>
        <v>59</v>
      </c>
      <c r="S8" s="2">
        <f ca="1">Messy_Data!X8</f>
        <v>4</v>
      </c>
      <c r="T8" s="2"/>
      <c r="U8" s="2"/>
      <c r="V8" s="2"/>
      <c r="W8" s="9"/>
      <c r="X8" s="2"/>
      <c r="Y8" s="12"/>
      <c r="Z8" s="12"/>
      <c r="AA8" s="2" t="str">
        <f ca="1">Messy_Data!AA8</f>
        <v>OK</v>
      </c>
    </row>
    <row r="9" spans="1:27" x14ac:dyDescent="0.3">
      <c r="A9" s="2" t="str">
        <f>Messy_Data!B9</f>
        <v>EMP8</v>
      </c>
      <c r="B9" s="2" t="str">
        <f>Messy_Data!D9</f>
        <v>Sunita</v>
      </c>
      <c r="C9" s="2" t="str">
        <f>Messy_Data!F9</f>
        <v>HR</v>
      </c>
      <c r="D9" s="3">
        <f>Messy_Data!H9</f>
        <v>44726</v>
      </c>
      <c r="E9" s="3">
        <f ca="1">Messy_Data!J9</f>
        <v>46061</v>
      </c>
      <c r="F9" s="2">
        <f>Messy_Data!L9</f>
        <v>9125742616</v>
      </c>
      <c r="G9" s="2" t="str">
        <f>Messy_Data!N9</f>
        <v>pooja@gmail.com</v>
      </c>
      <c r="H9" s="12">
        <f>Messy_Data!O9</f>
        <v>37975</v>
      </c>
      <c r="I9" s="2" t="str">
        <f>Messy_Data!P9</f>
        <v>20K-40K</v>
      </c>
      <c r="J9" s="2"/>
      <c r="K9" s="2"/>
      <c r="L9" s="2"/>
      <c r="M9" s="2"/>
      <c r="N9" s="2"/>
      <c r="O9" s="2" t="str">
        <f>Messy_Data!S9</f>
        <v>M13</v>
      </c>
      <c r="P9" s="2" t="str">
        <f>Messy_Data!U9</f>
        <v>ACTIVE</v>
      </c>
      <c r="Q9" s="2">
        <f ca="1">Messy_Data!V9</f>
        <v>1335</v>
      </c>
      <c r="R9" s="2">
        <f ca="1">Messy_Data!W9</f>
        <v>43</v>
      </c>
      <c r="S9" s="2">
        <f ca="1">Messy_Data!X9</f>
        <v>3</v>
      </c>
      <c r="T9" s="2"/>
      <c r="U9" s="2"/>
      <c r="V9" s="2"/>
      <c r="W9" s="9"/>
      <c r="X9" s="2"/>
      <c r="Y9" s="12"/>
      <c r="Z9" s="12"/>
      <c r="AA9" s="2" t="str">
        <f ca="1">Messy_Data!AA9</f>
        <v>OK</v>
      </c>
    </row>
    <row r="10" spans="1:27" ht="15.6" x14ac:dyDescent="0.3">
      <c r="A10" s="2" t="str">
        <f>Messy_Data!B10</f>
        <v>EMP9</v>
      </c>
      <c r="B10" s="2" t="str">
        <f>Messy_Data!D10</f>
        <v>Pooja</v>
      </c>
      <c r="C10" s="2" t="str">
        <f>Messy_Data!F10</f>
        <v>IT</v>
      </c>
      <c r="D10" s="3">
        <f>Messy_Data!H10</f>
        <v>44959</v>
      </c>
      <c r="E10" s="3">
        <f ca="1">Messy_Data!J10</f>
        <v>45844</v>
      </c>
      <c r="F10" s="2">
        <f>Messy_Data!L10</f>
        <v>9188103283</v>
      </c>
      <c r="G10" s="2" t="str">
        <f>Messy_Data!N10</f>
        <v>neha@company.com</v>
      </c>
      <c r="H10" s="12">
        <f>Messy_Data!O10</f>
        <v>18480</v>
      </c>
      <c r="I10" s="2" t="str">
        <f>Messy_Data!P10</f>
        <v>Below 20K</v>
      </c>
      <c r="J10" s="2"/>
      <c r="K10" s="2"/>
      <c r="L10" s="2"/>
      <c r="M10" s="2"/>
      <c r="N10" s="2"/>
      <c r="O10" s="2" t="str">
        <f>Messy_Data!S10</f>
        <v>M13</v>
      </c>
      <c r="P10" s="2" t="str">
        <f>Messy_Data!U10</f>
        <v>RESIGNED</v>
      </c>
      <c r="Q10" s="2">
        <f ca="1">Messy_Data!V10</f>
        <v>885</v>
      </c>
      <c r="R10" s="2">
        <f ca="1">Messy_Data!W10</f>
        <v>29</v>
      </c>
      <c r="S10" s="2">
        <f ca="1">Messy_Data!X10</f>
        <v>2</v>
      </c>
      <c r="T10" s="2"/>
      <c r="U10" s="2"/>
      <c r="V10" s="2"/>
      <c r="W10" s="9"/>
      <c r="X10" s="35"/>
      <c r="Y10" s="36"/>
      <c r="Z10" s="36"/>
      <c r="AA10" s="2" t="str">
        <f ca="1">Messy_Data!AA10</f>
        <v>OK</v>
      </c>
    </row>
    <row r="11" spans="1:27" x14ac:dyDescent="0.3">
      <c r="A11" s="2" t="str">
        <f>Messy_Data!B11</f>
        <v>EMP10</v>
      </c>
      <c r="B11" s="2" t="str">
        <f>Messy_Data!D11</f>
        <v>Ravi</v>
      </c>
      <c r="C11" s="2" t="str">
        <f>Messy_Data!F11</f>
        <v>IT</v>
      </c>
      <c r="D11" s="3">
        <f>Messy_Data!H11</f>
        <v>44424</v>
      </c>
      <c r="E11" s="3">
        <f ca="1">Messy_Data!J11</f>
        <v>45026</v>
      </c>
      <c r="F11" s="2">
        <f>Messy_Data!L11</f>
        <v>9526289266</v>
      </c>
      <c r="G11" s="2" t="str">
        <f>Messy_Data!N11</f>
        <v>sunita@company.com</v>
      </c>
      <c r="H11" s="12">
        <f>Messy_Data!O11</f>
        <v>72669</v>
      </c>
      <c r="I11" s="2" t="str">
        <f>Messy_Data!P11</f>
        <v>60K-80K</v>
      </c>
      <c r="J11" s="2"/>
      <c r="K11" s="2"/>
      <c r="L11" s="2"/>
      <c r="M11" s="2"/>
      <c r="N11" s="2"/>
      <c r="O11" s="2" t="str">
        <f>Messy_Data!S11</f>
        <v>M14</v>
      </c>
      <c r="P11" s="2" t="str">
        <f>Messy_Data!U11</f>
        <v>ON HOLD</v>
      </c>
      <c r="Q11" s="2">
        <f ca="1">Messy_Data!V11</f>
        <v>602</v>
      </c>
      <c r="R11" s="2">
        <f ca="1">Messy_Data!W11</f>
        <v>19</v>
      </c>
      <c r="S11" s="2">
        <f ca="1">Messy_Data!X11</f>
        <v>1</v>
      </c>
      <c r="T11" s="2"/>
      <c r="U11" s="2"/>
      <c r="V11" s="2"/>
      <c r="W11" s="9"/>
      <c r="X11" s="2"/>
      <c r="Y11" s="12"/>
      <c r="Z11" s="12"/>
      <c r="AA11" s="2" t="str">
        <f ca="1">Messy_Data!AA11</f>
        <v>OK</v>
      </c>
    </row>
    <row r="12" spans="1:27" x14ac:dyDescent="0.3">
      <c r="A12" s="2" t="str">
        <f>Messy_Data!B12</f>
        <v>EMP11</v>
      </c>
      <c r="B12" s="2" t="str">
        <f>Messy_Data!D12</f>
        <v>Sunita</v>
      </c>
      <c r="C12" s="2" t="str">
        <f>Messy_Data!F12</f>
        <v>HR</v>
      </c>
      <c r="D12" s="3">
        <f>Messy_Data!H12</f>
        <v>43497</v>
      </c>
      <c r="E12" s="3">
        <f ca="1">Messy_Data!J12</f>
        <v>43684</v>
      </c>
      <c r="F12" s="2">
        <f>Messy_Data!L12</f>
        <v>9302136537</v>
      </c>
      <c r="G12" s="2" t="str">
        <f>Messy_Data!N12</f>
        <v>neha@company.com</v>
      </c>
      <c r="H12" s="12">
        <f>Messy_Data!O12</f>
        <v>17443</v>
      </c>
      <c r="I12" s="2" t="str">
        <f>Messy_Data!P12</f>
        <v>Below 20K</v>
      </c>
      <c r="J12" s="2"/>
      <c r="K12" s="2"/>
      <c r="L12" s="2"/>
      <c r="M12" s="2"/>
      <c r="N12" s="2"/>
      <c r="O12" s="2" t="str">
        <f>Messy_Data!S12</f>
        <v>M12</v>
      </c>
      <c r="P12" s="2" t="str">
        <f>Messy_Data!U12</f>
        <v>RESIGNED</v>
      </c>
      <c r="Q12" s="2">
        <f ca="1">Messy_Data!V12</f>
        <v>187</v>
      </c>
      <c r="R12" s="2">
        <f ca="1">Messy_Data!W12</f>
        <v>6</v>
      </c>
      <c r="S12" s="2">
        <f ca="1">Messy_Data!X12</f>
        <v>0</v>
      </c>
      <c r="T12" s="2"/>
      <c r="U12" s="2"/>
      <c r="V12" s="2"/>
      <c r="W12" s="9"/>
      <c r="X12" s="2"/>
      <c r="Y12" s="12"/>
      <c r="Z12" s="12"/>
      <c r="AA12" s="2" t="str">
        <f ca="1">Messy_Data!AA12</f>
        <v>OK</v>
      </c>
    </row>
    <row r="13" spans="1:27" x14ac:dyDescent="0.3">
      <c r="A13" s="2" t="str">
        <f>Messy_Data!B13</f>
        <v>EMP12</v>
      </c>
      <c r="B13" s="2" t="str">
        <f>Messy_Data!D13</f>
        <v>Pooja</v>
      </c>
      <c r="C13" s="2" t="str">
        <f>Messy_Data!F13</f>
        <v>HR</v>
      </c>
      <c r="D13" s="3">
        <f>Messy_Data!H13</f>
        <v>43532</v>
      </c>
      <c r="E13" s="3">
        <f ca="1">Messy_Data!J13</f>
        <v>44342</v>
      </c>
      <c r="F13" s="2">
        <f>Messy_Data!L13</f>
        <v>9887171748</v>
      </c>
      <c r="G13" s="2" t="str">
        <f>Messy_Data!N13</f>
        <v>suresh@company.com</v>
      </c>
      <c r="H13" s="12">
        <f>Messy_Data!O13</f>
        <v>57006</v>
      </c>
      <c r="I13" s="2" t="str">
        <f>Messy_Data!P13</f>
        <v>40K-60K</v>
      </c>
      <c r="J13" s="2"/>
      <c r="K13" s="2"/>
      <c r="L13" s="2"/>
      <c r="M13" s="2"/>
      <c r="N13" s="2"/>
      <c r="O13" s="2" t="str">
        <f>Messy_Data!S13</f>
        <v>M20</v>
      </c>
      <c r="P13" s="2" t="str">
        <f>Messy_Data!U13</f>
        <v>ACTIVE</v>
      </c>
      <c r="Q13" s="2">
        <f ca="1">Messy_Data!V13</f>
        <v>810</v>
      </c>
      <c r="R13" s="2">
        <f ca="1">Messy_Data!W13</f>
        <v>26</v>
      </c>
      <c r="S13" s="2">
        <f ca="1">Messy_Data!X13</f>
        <v>2</v>
      </c>
      <c r="T13" s="2"/>
      <c r="U13" s="2"/>
      <c r="V13" s="2"/>
      <c r="W13" s="9"/>
      <c r="X13" s="2"/>
      <c r="Y13" s="12"/>
      <c r="Z13" s="12"/>
      <c r="AA13" s="2" t="str">
        <f ca="1">Messy_Data!AA13</f>
        <v>OK</v>
      </c>
    </row>
    <row r="14" spans="1:27" x14ac:dyDescent="0.3">
      <c r="A14" s="2" t="str">
        <f>Messy_Data!B14</f>
        <v>EMP13</v>
      </c>
      <c r="B14" s="2" t="str">
        <f>Messy_Data!D14</f>
        <v>Suresh</v>
      </c>
      <c r="C14" s="2" t="str">
        <f>Messy_Data!F14</f>
        <v>HR</v>
      </c>
      <c r="D14" s="3">
        <f>Messy_Data!H14</f>
        <v>44811</v>
      </c>
      <c r="E14" s="3">
        <f ca="1">Messy_Data!J14</f>
        <v>44964</v>
      </c>
      <c r="F14" s="2">
        <f>Messy_Data!L14</f>
        <v>9561915728</v>
      </c>
      <c r="G14" s="2" t="str">
        <f>Messy_Data!N14</f>
        <v>ankit@company.com</v>
      </c>
      <c r="H14" s="12">
        <f>Messy_Data!O14</f>
        <v>94507</v>
      </c>
      <c r="I14" s="2" t="str">
        <f>Messy_Data!P14</f>
        <v>Above 80K</v>
      </c>
      <c r="J14" s="2"/>
      <c r="K14" s="32"/>
      <c r="L14" s="32"/>
      <c r="M14" s="32"/>
      <c r="N14" s="32"/>
      <c r="O14" s="2" t="str">
        <f>Messy_Data!S14</f>
        <v>M24</v>
      </c>
      <c r="P14" s="2" t="str">
        <f>Messy_Data!U14</f>
        <v>ON HOLD</v>
      </c>
      <c r="Q14" s="2">
        <f ca="1">Messy_Data!V14</f>
        <v>153</v>
      </c>
      <c r="R14" s="2">
        <f ca="1">Messy_Data!W14</f>
        <v>5</v>
      </c>
      <c r="S14" s="2">
        <f ca="1">Messy_Data!X14</f>
        <v>0</v>
      </c>
      <c r="T14" s="2"/>
      <c r="U14" s="2"/>
      <c r="V14" s="2"/>
      <c r="W14" s="9"/>
      <c r="X14" s="2"/>
      <c r="Y14" s="12"/>
      <c r="Z14" s="12"/>
      <c r="AA14" s="2" t="str">
        <f ca="1">Messy_Data!AA14</f>
        <v>CHECK</v>
      </c>
    </row>
    <row r="15" spans="1:27" x14ac:dyDescent="0.3">
      <c r="A15" s="2" t="str">
        <f>Messy_Data!B15</f>
        <v>EMP14</v>
      </c>
      <c r="B15" s="2" t="str">
        <f>Messy_Data!D15</f>
        <v>Pooja</v>
      </c>
      <c r="C15" s="2" t="str">
        <f>Messy_Data!F15</f>
        <v>SALES</v>
      </c>
      <c r="D15" s="3">
        <f>Messy_Data!H15</f>
        <v>43991</v>
      </c>
      <c r="E15" s="3">
        <f ca="1">Messy_Data!J15</f>
        <v>46024</v>
      </c>
      <c r="F15" s="2">
        <f>Messy_Data!L15</f>
        <v>9803274000</v>
      </c>
      <c r="G15" s="2" t="str">
        <f>Messy_Data!N15</f>
        <v>kiran@company.com</v>
      </c>
      <c r="H15" s="12">
        <f>Messy_Data!O15</f>
        <v>49081</v>
      </c>
      <c r="I15" s="2" t="str">
        <f>Messy_Data!P15</f>
        <v>40K-60K</v>
      </c>
      <c r="J15" s="2"/>
      <c r="K15" s="2"/>
      <c r="L15" s="2"/>
      <c r="M15" s="2"/>
      <c r="N15" s="2"/>
      <c r="O15" s="2" t="str">
        <f>Messy_Data!S15</f>
        <v>M16</v>
      </c>
      <c r="P15" s="2" t="str">
        <f>Messy_Data!U15</f>
        <v>RESIGNED</v>
      </c>
      <c r="Q15" s="2">
        <f ca="1">Messy_Data!V15</f>
        <v>2033</v>
      </c>
      <c r="R15" s="2">
        <f ca="1">Messy_Data!W15</f>
        <v>66</v>
      </c>
      <c r="S15" s="2">
        <f ca="1">Messy_Data!X15</f>
        <v>5</v>
      </c>
      <c r="T15" s="2"/>
      <c r="U15" s="2"/>
      <c r="V15" s="2"/>
      <c r="W15" s="9"/>
      <c r="X15" s="2"/>
      <c r="Y15" s="12"/>
      <c r="Z15" s="12"/>
      <c r="AA15" s="2" t="str">
        <f ca="1">Messy_Data!AA15</f>
        <v>OK</v>
      </c>
    </row>
    <row r="16" spans="1:27" x14ac:dyDescent="0.3">
      <c r="A16" s="2" t="str">
        <f>Messy_Data!B16</f>
        <v>EMP15</v>
      </c>
      <c r="B16" s="2" t="str">
        <f>Messy_Data!D16</f>
        <v>Suresh</v>
      </c>
      <c r="C16" s="2" t="str">
        <f>Messy_Data!F16</f>
        <v>IT</v>
      </c>
      <c r="D16" s="3">
        <f>Messy_Data!H16</f>
        <v>44965</v>
      </c>
      <c r="E16" s="3">
        <f ca="1">Messy_Data!J16</f>
        <v>45850</v>
      </c>
      <c r="F16" s="2">
        <f>Messy_Data!L16</f>
        <v>9531992521</v>
      </c>
      <c r="G16" s="2" t="str">
        <f>Messy_Data!N16</f>
        <v>suresh@company.com</v>
      </c>
      <c r="H16" s="12">
        <f>Messy_Data!O16</f>
        <v>69406</v>
      </c>
      <c r="I16" s="2" t="str">
        <f>Messy_Data!P16</f>
        <v>60K-80K</v>
      </c>
      <c r="J16" s="2"/>
      <c r="K16" s="2"/>
      <c r="L16" s="2"/>
      <c r="M16" s="2"/>
      <c r="N16" s="2"/>
      <c r="O16" s="2" t="str">
        <f>Messy_Data!S16</f>
        <v>M2</v>
      </c>
      <c r="P16" s="2" t="str">
        <f>Messy_Data!U16</f>
        <v>ON HOLD</v>
      </c>
      <c r="Q16" s="2">
        <f ca="1">Messy_Data!V16</f>
        <v>885</v>
      </c>
      <c r="R16" s="2">
        <f ca="1">Messy_Data!W16</f>
        <v>29</v>
      </c>
      <c r="S16" s="2">
        <f ca="1">Messy_Data!X16</f>
        <v>2</v>
      </c>
      <c r="T16" s="2"/>
      <c r="U16" s="2"/>
      <c r="V16" s="2"/>
      <c r="W16" s="9"/>
      <c r="X16" s="2"/>
      <c r="Y16" s="12"/>
      <c r="Z16" s="12"/>
      <c r="AA16" s="2" t="str">
        <f ca="1">Messy_Data!AA16</f>
        <v>OK</v>
      </c>
    </row>
    <row r="17" spans="1:27" x14ac:dyDescent="0.3">
      <c r="A17" s="2" t="str">
        <f>Messy_Data!B17</f>
        <v>EMP16</v>
      </c>
      <c r="B17" s="2" t="str">
        <f>Messy_Data!D17</f>
        <v>Ankit</v>
      </c>
      <c r="C17" s="2" t="str">
        <f>Messy_Data!F17</f>
        <v>IT</v>
      </c>
      <c r="D17" s="3">
        <f>Messy_Data!H17</f>
        <v>45235</v>
      </c>
      <c r="E17" s="3">
        <f ca="1">Messy_Data!J17</f>
        <v>45487</v>
      </c>
      <c r="F17" s="2">
        <f>Messy_Data!L17</f>
        <v>9705437429</v>
      </c>
      <c r="G17" s="2" t="str">
        <f>Messy_Data!N17</f>
        <v>suresh@gmail.com</v>
      </c>
      <c r="H17" s="12">
        <f>Messy_Data!O17</f>
        <v>18834</v>
      </c>
      <c r="I17" s="2" t="str">
        <f>Messy_Data!P17</f>
        <v>Below 20K</v>
      </c>
      <c r="J17" s="2"/>
      <c r="K17" s="2"/>
      <c r="L17" s="2"/>
      <c r="M17" s="2"/>
      <c r="N17" s="2"/>
      <c r="O17" s="2" t="str">
        <f>Messy_Data!S17</f>
        <v>M20</v>
      </c>
      <c r="P17" s="2" t="str">
        <f>Messy_Data!U17</f>
        <v>ON HOLD</v>
      </c>
      <c r="Q17" s="2">
        <f ca="1">Messy_Data!V17</f>
        <v>252</v>
      </c>
      <c r="R17" s="2">
        <f ca="1">Messy_Data!W17</f>
        <v>8</v>
      </c>
      <c r="S17" s="2">
        <f ca="1">Messy_Data!X17</f>
        <v>0</v>
      </c>
      <c r="T17" s="2"/>
      <c r="U17" s="2"/>
      <c r="V17" s="2"/>
      <c r="W17" s="9"/>
      <c r="X17" s="2"/>
      <c r="Y17" s="12"/>
      <c r="Z17" s="12"/>
      <c r="AA17" s="2" t="str">
        <f ca="1">Messy_Data!AA17</f>
        <v>OK</v>
      </c>
    </row>
    <row r="18" spans="1:27" x14ac:dyDescent="0.3">
      <c r="A18" s="2" t="str">
        <f>Messy_Data!B18</f>
        <v>EMP17</v>
      </c>
      <c r="B18" s="2" t="str">
        <f>Messy_Data!D18</f>
        <v>Neha</v>
      </c>
      <c r="C18" s="2" t="str">
        <f>Messy_Data!F18</f>
        <v>IT</v>
      </c>
      <c r="D18" s="3">
        <f>Messy_Data!H18</f>
        <v>43613</v>
      </c>
      <c r="E18" s="3">
        <f ca="1">Messy_Data!J18</f>
        <v>44737</v>
      </c>
      <c r="F18" s="2">
        <f>Messy_Data!L18</f>
        <v>9970816343</v>
      </c>
      <c r="G18" s="2" t="str">
        <f>Messy_Data!N18</f>
        <v>suresh@company.com</v>
      </c>
      <c r="H18" s="12">
        <f>Messy_Data!O18</f>
        <v>38952</v>
      </c>
      <c r="I18" s="2" t="str">
        <f>Messy_Data!P18</f>
        <v>20K-40K</v>
      </c>
      <c r="J18" s="2"/>
      <c r="K18" s="2"/>
      <c r="L18" s="2"/>
      <c r="M18" s="2"/>
      <c r="N18" s="2"/>
      <c r="O18" s="2" t="str">
        <f>Messy_Data!S18</f>
        <v>M3</v>
      </c>
      <c r="P18" s="2" t="str">
        <f>Messy_Data!U18</f>
        <v>RESIGNED</v>
      </c>
      <c r="Q18" s="2">
        <f ca="1">Messy_Data!V18</f>
        <v>1124</v>
      </c>
      <c r="R18" s="2">
        <f ca="1">Messy_Data!W18</f>
        <v>36</v>
      </c>
      <c r="S18" s="2">
        <f ca="1">Messy_Data!X18</f>
        <v>3</v>
      </c>
      <c r="T18" s="2"/>
      <c r="U18" s="2"/>
      <c r="V18" s="2"/>
      <c r="W18" s="9"/>
      <c r="X18" s="2"/>
      <c r="Y18" s="12"/>
      <c r="Z18" s="12"/>
      <c r="AA18" s="2" t="str">
        <f ca="1">Messy_Data!AA18</f>
        <v>OK</v>
      </c>
    </row>
    <row r="19" spans="1:27" x14ac:dyDescent="0.3">
      <c r="A19" s="2" t="str">
        <f>Messy_Data!B19</f>
        <v>EMP18</v>
      </c>
      <c r="B19" s="2" t="str">
        <f>Messy_Data!D19</f>
        <v>Ankit</v>
      </c>
      <c r="C19" s="2" t="str">
        <f>Messy_Data!F19</f>
        <v>IT</v>
      </c>
      <c r="D19" s="3">
        <f>Messy_Data!H19</f>
        <v>43917</v>
      </c>
      <c r="E19" s="3">
        <f ca="1">Messy_Data!J19</f>
        <v>44086</v>
      </c>
      <c r="F19" s="2">
        <f>Messy_Data!L19</f>
        <v>9131591320</v>
      </c>
      <c r="G19" s="2" t="str">
        <f>Messy_Data!N19</f>
        <v>neha@company.com</v>
      </c>
      <c r="H19" s="12">
        <f>Messy_Data!O19</f>
        <v>35910</v>
      </c>
      <c r="I19" s="2" t="str">
        <f>Messy_Data!P19</f>
        <v>20K-40K</v>
      </c>
      <c r="J19" s="2"/>
      <c r="K19" s="2"/>
      <c r="L19" s="2"/>
      <c r="M19" s="2"/>
      <c r="N19" s="2"/>
      <c r="O19" s="2" t="str">
        <f>Messy_Data!S19</f>
        <v>M20</v>
      </c>
      <c r="P19" s="2" t="str">
        <f>Messy_Data!U19</f>
        <v>RESIGNED</v>
      </c>
      <c r="Q19" s="2">
        <f ca="1">Messy_Data!V19</f>
        <v>169</v>
      </c>
      <c r="R19" s="2">
        <f ca="1">Messy_Data!W19</f>
        <v>5</v>
      </c>
      <c r="S19" s="2">
        <f ca="1">Messy_Data!X19</f>
        <v>0</v>
      </c>
      <c r="T19" s="2"/>
      <c r="U19" s="2"/>
      <c r="V19" s="2"/>
      <c r="W19" s="9"/>
      <c r="X19" s="2"/>
      <c r="Y19" s="12"/>
      <c r="Z19" s="12"/>
      <c r="AA19" s="2" t="str">
        <f ca="1">Messy_Data!AA19</f>
        <v>OK</v>
      </c>
    </row>
    <row r="20" spans="1:27" x14ac:dyDescent="0.3">
      <c r="A20" s="2" t="str">
        <f>Messy_Data!B20</f>
        <v>EMP19</v>
      </c>
      <c r="B20" s="2" t="str">
        <f>Messy_Data!D20</f>
        <v>Vikas</v>
      </c>
      <c r="C20" s="2" t="str">
        <f>Messy_Data!F20</f>
        <v>HR</v>
      </c>
      <c r="D20" s="3">
        <f>Messy_Data!H20</f>
        <v>43851</v>
      </c>
      <c r="E20" s="3">
        <f ca="1">Messy_Data!J20</f>
        <v>44874</v>
      </c>
      <c r="F20" s="2">
        <f>Messy_Data!L20</f>
        <v>9544962090</v>
      </c>
      <c r="G20" s="2" t="str">
        <f>Messy_Data!N20</f>
        <v>vikas@company.com</v>
      </c>
      <c r="H20" s="12">
        <f>Messy_Data!O20</f>
        <v>30231</v>
      </c>
      <c r="I20" s="2" t="str">
        <f>Messy_Data!P20</f>
        <v>20K-40K</v>
      </c>
      <c r="J20" s="2"/>
      <c r="K20" s="2"/>
      <c r="L20" s="2"/>
      <c r="M20" s="2"/>
      <c r="N20" s="2"/>
      <c r="O20" s="2" t="str">
        <f>Messy_Data!S20</f>
        <v>M10</v>
      </c>
      <c r="P20" s="2" t="str">
        <f>Messy_Data!U20</f>
        <v>RESIGNED</v>
      </c>
      <c r="Q20" s="2">
        <f ca="1">Messy_Data!V20</f>
        <v>1023</v>
      </c>
      <c r="R20" s="2">
        <f ca="1">Messy_Data!W20</f>
        <v>33</v>
      </c>
      <c r="S20" s="2">
        <f ca="1">Messy_Data!X20</f>
        <v>2</v>
      </c>
      <c r="T20" s="2"/>
      <c r="U20" s="2"/>
      <c r="V20" s="2"/>
      <c r="W20" s="9"/>
      <c r="X20" s="2"/>
      <c r="Y20" s="12"/>
      <c r="Z20" s="12"/>
      <c r="AA20" s="2" t="str">
        <f ca="1">Messy_Data!AA20</f>
        <v>OK</v>
      </c>
    </row>
    <row r="21" spans="1:27" x14ac:dyDescent="0.3">
      <c r="A21" s="2" t="str">
        <f>Messy_Data!B21</f>
        <v>EMP20</v>
      </c>
      <c r="B21" s="2" t="str">
        <f>Messy_Data!D21</f>
        <v>Vikas</v>
      </c>
      <c r="C21" s="2" t="str">
        <f>Messy_Data!F21</f>
        <v>IT</v>
      </c>
      <c r="D21" s="3">
        <f>Messy_Data!H21</f>
        <v>45161</v>
      </c>
      <c r="E21" s="3">
        <f ca="1">Messy_Data!J21</f>
        <v>45680</v>
      </c>
      <c r="F21" s="2">
        <f>Messy_Data!L21</f>
        <v>9274871734</v>
      </c>
      <c r="G21" s="2" t="str">
        <f>Messy_Data!N21</f>
        <v>suresh@company.com</v>
      </c>
      <c r="H21" s="12">
        <f>Messy_Data!O21</f>
        <v>75026</v>
      </c>
      <c r="I21" s="2" t="str">
        <f>Messy_Data!P21</f>
        <v>60K-80K</v>
      </c>
      <c r="J21" s="2"/>
      <c r="K21" s="2"/>
      <c r="L21" s="2"/>
      <c r="M21" s="2"/>
      <c r="N21" s="2"/>
      <c r="O21" s="2" t="str">
        <f>Messy_Data!S21</f>
        <v>M3</v>
      </c>
      <c r="P21" s="2" t="str">
        <f>Messy_Data!U21</f>
        <v>RESIGNED</v>
      </c>
      <c r="Q21" s="2">
        <f ca="1">Messy_Data!V21</f>
        <v>519</v>
      </c>
      <c r="R21" s="2">
        <f ca="1">Messy_Data!W21</f>
        <v>17</v>
      </c>
      <c r="S21" s="2">
        <f ca="1">Messy_Data!X21</f>
        <v>1</v>
      </c>
      <c r="T21" s="2"/>
      <c r="U21" s="2"/>
      <c r="V21" s="2"/>
      <c r="W21" s="9"/>
      <c r="X21" s="2"/>
      <c r="Y21" s="12"/>
      <c r="Z21" s="12"/>
      <c r="AA21" s="2" t="str">
        <f ca="1">Messy_Data!AA21</f>
        <v>OK</v>
      </c>
    </row>
    <row r="22" spans="1:27" x14ac:dyDescent="0.3">
      <c r="A22" s="2" t="str">
        <f>Messy_Data!B22</f>
        <v>EMP21</v>
      </c>
      <c r="B22" s="2" t="str">
        <f>Messy_Data!D22</f>
        <v>Neha</v>
      </c>
      <c r="C22" s="2" t="str">
        <f>Messy_Data!F22</f>
        <v>HR</v>
      </c>
      <c r="D22" s="3">
        <f>Messy_Data!H22</f>
        <v>44763</v>
      </c>
      <c r="E22" s="3">
        <f ca="1">Messy_Data!J22</f>
        <v>46024</v>
      </c>
      <c r="F22" s="2">
        <f>Messy_Data!L22</f>
        <v>9260910861</v>
      </c>
      <c r="G22" s="2" t="str">
        <f>Messy_Data!N22</f>
        <v>ravi@company.com</v>
      </c>
      <c r="H22" s="12">
        <f>Messy_Data!O22</f>
        <v>56487</v>
      </c>
      <c r="I22" s="2" t="str">
        <f>Messy_Data!P22</f>
        <v>40K-60K</v>
      </c>
      <c r="J22" s="2"/>
      <c r="K22" s="2"/>
      <c r="L22" s="2"/>
      <c r="M22" s="2"/>
      <c r="N22" s="2"/>
      <c r="O22" s="2" t="str">
        <f>Messy_Data!S22</f>
        <v>M9</v>
      </c>
      <c r="P22" s="2" t="str">
        <f>Messy_Data!U22</f>
        <v>ON HOLD</v>
      </c>
      <c r="Q22" s="2">
        <f ca="1">Messy_Data!V22</f>
        <v>1261</v>
      </c>
      <c r="R22" s="2">
        <f ca="1">Messy_Data!W22</f>
        <v>41</v>
      </c>
      <c r="S22" s="2">
        <f ca="1">Messy_Data!X22</f>
        <v>3</v>
      </c>
      <c r="T22" s="2"/>
      <c r="U22" s="2"/>
      <c r="V22" s="2"/>
      <c r="W22" s="9"/>
      <c r="X22" s="2"/>
      <c r="Y22" s="12"/>
      <c r="Z22" s="12"/>
      <c r="AA22" s="2" t="str">
        <f ca="1">Messy_Data!AA22</f>
        <v>OK</v>
      </c>
    </row>
    <row r="23" spans="1:27" x14ac:dyDescent="0.3">
      <c r="A23" s="2" t="str">
        <f>Messy_Data!B23</f>
        <v>EMP22</v>
      </c>
      <c r="B23" s="2" t="str">
        <f>Messy_Data!D23</f>
        <v>Rahul</v>
      </c>
      <c r="C23" s="2" t="str">
        <f>Messy_Data!F23</f>
        <v>HR</v>
      </c>
      <c r="D23" s="3">
        <f>Messy_Data!H23</f>
        <v>44685</v>
      </c>
      <c r="E23" s="3">
        <f ca="1">Messy_Data!J23</f>
        <v>45377</v>
      </c>
      <c r="F23" s="2">
        <f>Messy_Data!L23</f>
        <v>9864320135</v>
      </c>
      <c r="G23" s="2" t="str">
        <f>Messy_Data!N23</f>
        <v>rahul@company.com</v>
      </c>
      <c r="H23" s="12">
        <f>Messy_Data!O23</f>
        <v>13552</v>
      </c>
      <c r="I23" s="2" t="str">
        <f>Messy_Data!P23</f>
        <v>Below 20K</v>
      </c>
      <c r="J23" s="2"/>
      <c r="K23" s="2"/>
      <c r="L23" s="2"/>
      <c r="M23" s="2"/>
      <c r="N23" s="2"/>
      <c r="O23" s="2" t="str">
        <f>Messy_Data!S23</f>
        <v>M13</v>
      </c>
      <c r="P23" s="2" t="str">
        <f>Messy_Data!U23</f>
        <v>RESIGNED</v>
      </c>
      <c r="Q23" s="2">
        <f ca="1">Messy_Data!V23</f>
        <v>692</v>
      </c>
      <c r="R23" s="2">
        <f ca="1">Messy_Data!W23</f>
        <v>22</v>
      </c>
      <c r="S23" s="2">
        <f ca="1">Messy_Data!X23</f>
        <v>1</v>
      </c>
      <c r="T23" s="2"/>
      <c r="U23" s="2"/>
      <c r="V23" s="2"/>
      <c r="W23" s="9"/>
      <c r="X23" s="2"/>
      <c r="Y23" s="12"/>
      <c r="Z23" s="12"/>
      <c r="AA23" s="2" t="str">
        <f ca="1">Messy_Data!AA23</f>
        <v>OK</v>
      </c>
    </row>
    <row r="24" spans="1:27" x14ac:dyDescent="0.3">
      <c r="A24" s="2" t="str">
        <f>Messy_Data!B24</f>
        <v>EMP23</v>
      </c>
      <c r="B24" s="2" t="str">
        <f>Messy_Data!D24</f>
        <v>Vikas</v>
      </c>
      <c r="C24" s="2" t="str">
        <f>Messy_Data!F24</f>
        <v>IT</v>
      </c>
      <c r="D24" s="3">
        <f>Messy_Data!H24</f>
        <v>44918</v>
      </c>
      <c r="E24" s="3">
        <f ca="1">Messy_Data!J24</f>
        <v>45409</v>
      </c>
      <c r="F24" s="2">
        <f>Messy_Data!L24</f>
        <v>9967616524</v>
      </c>
      <c r="G24" s="2" t="str">
        <f>Messy_Data!N24</f>
        <v>kiran@company.com</v>
      </c>
      <c r="H24" s="12">
        <f>Messy_Data!O24</f>
        <v>20431</v>
      </c>
      <c r="I24" s="2" t="str">
        <f>Messy_Data!P24</f>
        <v>20K-40K</v>
      </c>
      <c r="J24" s="2"/>
      <c r="K24" s="2"/>
      <c r="L24" s="2"/>
      <c r="M24" s="2"/>
      <c r="N24" s="2"/>
      <c r="O24" s="2" t="str">
        <f>Messy_Data!S24</f>
        <v>M5</v>
      </c>
      <c r="P24" s="2" t="str">
        <f>Messy_Data!U24</f>
        <v>ON HOLD</v>
      </c>
      <c r="Q24" s="2">
        <f ca="1">Messy_Data!V24</f>
        <v>491</v>
      </c>
      <c r="R24" s="2">
        <f ca="1">Messy_Data!W24</f>
        <v>16</v>
      </c>
      <c r="S24" s="2">
        <f ca="1">Messy_Data!X24</f>
        <v>1</v>
      </c>
      <c r="T24" s="2"/>
      <c r="U24" s="2"/>
      <c r="V24" s="2"/>
      <c r="W24" s="9"/>
      <c r="X24" s="2"/>
      <c r="Y24" s="12"/>
      <c r="Z24" s="12"/>
      <c r="AA24" s="2" t="str">
        <f ca="1">Messy_Data!AA24</f>
        <v>OK</v>
      </c>
    </row>
    <row r="25" spans="1:27" x14ac:dyDescent="0.3">
      <c r="A25" s="2" t="str">
        <f>Messy_Data!B25</f>
        <v>EMP24</v>
      </c>
      <c r="B25" s="2" t="str">
        <f>Messy_Data!D25</f>
        <v>Pooja</v>
      </c>
      <c r="C25" s="2" t="str">
        <f>Messy_Data!F25</f>
        <v>HR</v>
      </c>
      <c r="D25" s="3">
        <f>Messy_Data!H25</f>
        <v>44347</v>
      </c>
      <c r="E25" s="3">
        <f ca="1">Messy_Data!J25</f>
        <v>45741</v>
      </c>
      <c r="F25" s="2">
        <f>Messy_Data!L25</f>
        <v>9540236491</v>
      </c>
      <c r="G25" s="2" t="str">
        <f>Messy_Data!N25</f>
        <v>neha@gmail.com</v>
      </c>
      <c r="H25" s="12">
        <f>Messy_Data!O25</f>
        <v>89209</v>
      </c>
      <c r="I25" s="2" t="str">
        <f>Messy_Data!P25</f>
        <v>Above 80K</v>
      </c>
      <c r="J25" s="2"/>
      <c r="K25" s="2"/>
      <c r="L25" s="2"/>
      <c r="M25" s="2"/>
      <c r="N25" s="2"/>
      <c r="O25" s="2" t="str">
        <f>Messy_Data!S25</f>
        <v>M19</v>
      </c>
      <c r="P25" s="2" t="str">
        <f>Messy_Data!U25</f>
        <v>ACTIVE</v>
      </c>
      <c r="Q25" s="2">
        <f ca="1">Messy_Data!V25</f>
        <v>1394</v>
      </c>
      <c r="R25" s="2">
        <f ca="1">Messy_Data!W25</f>
        <v>45</v>
      </c>
      <c r="S25" s="2">
        <f ca="1">Messy_Data!X25</f>
        <v>3</v>
      </c>
      <c r="T25" s="2"/>
      <c r="U25" s="2"/>
      <c r="V25" s="2"/>
      <c r="W25" s="9"/>
      <c r="X25" s="2"/>
      <c r="Y25" s="12"/>
      <c r="Z25" s="12"/>
      <c r="AA25" s="2" t="str">
        <f ca="1">Messy_Data!AA25</f>
        <v>OK</v>
      </c>
    </row>
    <row r="26" spans="1:27" x14ac:dyDescent="0.3">
      <c r="A26" s="2" t="str">
        <f>Messy_Data!B26</f>
        <v>EMP25</v>
      </c>
      <c r="B26" s="2" t="str">
        <f>Messy_Data!D26</f>
        <v>Sunita</v>
      </c>
      <c r="C26" s="2" t="str">
        <f>Messy_Data!F26</f>
        <v>SALES</v>
      </c>
      <c r="D26" s="3">
        <f>Messy_Data!H26</f>
        <v>43781</v>
      </c>
      <c r="E26" s="3">
        <f ca="1">Messy_Data!J26</f>
        <v>44370</v>
      </c>
      <c r="F26" s="2">
        <f>Messy_Data!L26</f>
        <v>9335638101</v>
      </c>
      <c r="G26" s="2" t="str">
        <f>Messy_Data!N26</f>
        <v>neha@company.com</v>
      </c>
      <c r="H26" s="12">
        <f>Messy_Data!O26</f>
        <v>26420</v>
      </c>
      <c r="I26" s="2" t="str">
        <f>Messy_Data!P26</f>
        <v>20K-40K</v>
      </c>
      <c r="J26" s="2"/>
      <c r="K26" s="2"/>
      <c r="L26" s="2"/>
      <c r="M26" s="2"/>
      <c r="N26" s="2"/>
      <c r="O26" s="2" t="str">
        <f>Messy_Data!S26</f>
        <v>M20</v>
      </c>
      <c r="P26" s="2" t="str">
        <f>Messy_Data!U26</f>
        <v>RESIGNED</v>
      </c>
      <c r="Q26" s="2">
        <f ca="1">Messy_Data!V26</f>
        <v>589</v>
      </c>
      <c r="R26" s="2">
        <f ca="1">Messy_Data!W26</f>
        <v>19</v>
      </c>
      <c r="S26" s="2">
        <f ca="1">Messy_Data!X26</f>
        <v>1</v>
      </c>
      <c r="T26" s="2"/>
      <c r="U26" s="2"/>
      <c r="V26" s="2"/>
      <c r="W26" s="9"/>
      <c r="X26" s="2"/>
      <c r="Y26" s="12"/>
      <c r="Z26" s="12"/>
      <c r="AA26" s="2" t="str">
        <f ca="1">Messy_Data!AA26</f>
        <v>OK</v>
      </c>
    </row>
    <row r="27" spans="1:27" x14ac:dyDescent="0.3">
      <c r="A27" s="2" t="str">
        <f>Messy_Data!B27</f>
        <v>EMP26</v>
      </c>
      <c r="B27" s="2" t="str">
        <f>Messy_Data!D27</f>
        <v>Sunita</v>
      </c>
      <c r="C27" s="2" t="str">
        <f>Messy_Data!F27</f>
        <v>SALES</v>
      </c>
      <c r="D27" s="3">
        <f>Messy_Data!H27</f>
        <v>43562</v>
      </c>
      <c r="E27" s="3">
        <f ca="1">Messy_Data!J27</f>
        <v>44392</v>
      </c>
      <c r="F27" s="2">
        <f>Messy_Data!L27</f>
        <v>9567209295</v>
      </c>
      <c r="G27" s="2" t="str">
        <f>Messy_Data!N27</f>
        <v>rahul@company.com</v>
      </c>
      <c r="H27" s="12">
        <f>Messy_Data!O27</f>
        <v>48833</v>
      </c>
      <c r="I27" s="2" t="str">
        <f>Messy_Data!P27</f>
        <v>40K-60K</v>
      </c>
      <c r="J27" s="2"/>
      <c r="K27" s="2"/>
      <c r="L27" s="2"/>
      <c r="M27" s="2"/>
      <c r="N27" s="2"/>
      <c r="O27" s="2" t="str">
        <f>Messy_Data!S27</f>
        <v>M15</v>
      </c>
      <c r="P27" s="2" t="str">
        <f>Messy_Data!U27</f>
        <v>ACTIVE</v>
      </c>
      <c r="Q27" s="2">
        <f ca="1">Messy_Data!V27</f>
        <v>830</v>
      </c>
      <c r="R27" s="2">
        <f ca="1">Messy_Data!W27</f>
        <v>27</v>
      </c>
      <c r="S27" s="2">
        <f ca="1">Messy_Data!X27</f>
        <v>2</v>
      </c>
      <c r="T27" s="2"/>
      <c r="U27" s="2"/>
      <c r="V27" s="2"/>
      <c r="W27" s="9"/>
      <c r="X27" s="2"/>
      <c r="Y27" s="12"/>
      <c r="Z27" s="12"/>
      <c r="AA27" s="2" t="str">
        <f ca="1">Messy_Data!AA27</f>
        <v>OK</v>
      </c>
    </row>
    <row r="28" spans="1:27" x14ac:dyDescent="0.3">
      <c r="A28" s="2" t="str">
        <f>Messy_Data!B28</f>
        <v>EMP27</v>
      </c>
      <c r="B28" s="2" t="str">
        <f>Messy_Data!D28</f>
        <v>Amit</v>
      </c>
      <c r="C28" s="2" t="str">
        <f>Messy_Data!F28</f>
        <v>FINANCE</v>
      </c>
      <c r="D28" s="3">
        <f>Messy_Data!H28</f>
        <v>45011</v>
      </c>
      <c r="E28" s="3">
        <f ca="1">Messy_Data!J28</f>
        <v>46352</v>
      </c>
      <c r="F28" s="2">
        <f>Messy_Data!L28</f>
        <v>9430931644</v>
      </c>
      <c r="G28" s="2" t="str">
        <f>Messy_Data!N28</f>
        <v>suresh@company.com</v>
      </c>
      <c r="H28" s="12">
        <f>Messy_Data!O28</f>
        <v>17678</v>
      </c>
      <c r="I28" s="2" t="str">
        <f>Messy_Data!P28</f>
        <v>Below 20K</v>
      </c>
      <c r="J28" s="2"/>
      <c r="K28" s="2"/>
      <c r="L28" s="2"/>
      <c r="M28" s="2"/>
      <c r="N28" s="2"/>
      <c r="O28" s="2" t="str">
        <f>Messy_Data!S28</f>
        <v>M25</v>
      </c>
      <c r="P28" s="2" t="str">
        <f>Messy_Data!U28</f>
        <v>ON HOLD</v>
      </c>
      <c r="Q28" s="2">
        <f ca="1">Messy_Data!V28</f>
        <v>1341</v>
      </c>
      <c r="R28" s="2">
        <f ca="1">Messy_Data!W28</f>
        <v>44</v>
      </c>
      <c r="S28" s="2">
        <f ca="1">Messy_Data!X28</f>
        <v>3</v>
      </c>
      <c r="T28" s="2"/>
      <c r="U28" s="2"/>
      <c r="V28" s="2"/>
      <c r="W28" s="9"/>
      <c r="X28" s="2"/>
      <c r="Y28" s="12"/>
      <c r="Z28" s="12"/>
      <c r="AA28" s="2" t="str">
        <f ca="1">Messy_Data!AA28</f>
        <v>OK</v>
      </c>
    </row>
    <row r="29" spans="1:27" x14ac:dyDescent="0.3">
      <c r="A29" s="2" t="str">
        <f>Messy_Data!B29</f>
        <v>EMP28</v>
      </c>
      <c r="B29" s="2" t="str">
        <f>Messy_Data!D29</f>
        <v>Vikas</v>
      </c>
      <c r="C29" s="2" t="str">
        <f>Messy_Data!F29</f>
        <v>SALES</v>
      </c>
      <c r="D29" s="3">
        <f>Messy_Data!H29</f>
        <v>44330</v>
      </c>
      <c r="E29" s="3">
        <f ca="1">Messy_Data!J29</f>
        <v>46024</v>
      </c>
      <c r="F29" s="2">
        <f>Messy_Data!L29</f>
        <v>9695781322</v>
      </c>
      <c r="G29" s="2" t="str">
        <f>Messy_Data!N29</f>
        <v>ankit@company.com</v>
      </c>
      <c r="H29" s="12">
        <f>Messy_Data!O29</f>
        <v>52795</v>
      </c>
      <c r="I29" s="2" t="str">
        <f>Messy_Data!P29</f>
        <v>40K-60K</v>
      </c>
      <c r="J29" s="2"/>
      <c r="K29" s="2"/>
      <c r="L29" s="2"/>
      <c r="M29" s="2"/>
      <c r="N29" s="2"/>
      <c r="O29" s="2" t="str">
        <f>Messy_Data!S29</f>
        <v>M23</v>
      </c>
      <c r="P29" s="2" t="str">
        <f>Messy_Data!U29</f>
        <v>ACTIVE</v>
      </c>
      <c r="Q29" s="2">
        <f ca="1">Messy_Data!V29</f>
        <v>1694</v>
      </c>
      <c r="R29" s="2">
        <f ca="1">Messy_Data!W29</f>
        <v>55</v>
      </c>
      <c r="S29" s="2">
        <f ca="1">Messy_Data!X29</f>
        <v>4</v>
      </c>
      <c r="T29" s="2"/>
      <c r="U29" s="2"/>
      <c r="V29" s="2"/>
      <c r="W29" s="9"/>
      <c r="X29" s="2"/>
      <c r="Y29" s="12"/>
      <c r="Z29" s="12"/>
      <c r="AA29" s="2" t="str">
        <f ca="1">Messy_Data!AA29</f>
        <v>OK</v>
      </c>
    </row>
    <row r="30" spans="1:27" x14ac:dyDescent="0.3">
      <c r="A30" s="2" t="str">
        <f>Messy_Data!B30</f>
        <v>EMP29</v>
      </c>
      <c r="B30" s="2" t="str">
        <f>Messy_Data!D30</f>
        <v>Vikas</v>
      </c>
      <c r="C30" s="2" t="str">
        <f>Messy_Data!F30</f>
        <v>FINANCE</v>
      </c>
      <c r="D30" s="3">
        <f>Messy_Data!H30</f>
        <v>44352</v>
      </c>
      <c r="E30" s="3">
        <f ca="1">Messy_Data!J30</f>
        <v>45658</v>
      </c>
      <c r="F30" s="2">
        <f>Messy_Data!L30</f>
        <v>9119025269</v>
      </c>
      <c r="G30" s="2" t="str">
        <f>Messy_Data!N30</f>
        <v>suresh@company.com</v>
      </c>
      <c r="H30" s="12">
        <f>Messy_Data!O30</f>
        <v>16285</v>
      </c>
      <c r="I30" s="2" t="str">
        <f>Messy_Data!P30</f>
        <v>Below 20K</v>
      </c>
      <c r="J30" s="2"/>
      <c r="K30" s="2"/>
      <c r="L30" s="2"/>
      <c r="M30" s="2"/>
      <c r="N30" s="2"/>
      <c r="O30" s="2" t="str">
        <f>Messy_Data!S30</f>
        <v>M19</v>
      </c>
      <c r="P30" s="2" t="str">
        <f>Messy_Data!U30</f>
        <v>ON HOLD</v>
      </c>
      <c r="Q30" s="2">
        <f ca="1">Messy_Data!V30</f>
        <v>1306</v>
      </c>
      <c r="R30" s="2">
        <f ca="1">Messy_Data!W30</f>
        <v>42</v>
      </c>
      <c r="S30" s="2">
        <f ca="1">Messy_Data!X30</f>
        <v>3</v>
      </c>
      <c r="T30" s="2"/>
      <c r="U30" s="2"/>
      <c r="V30" s="2"/>
      <c r="W30" s="9"/>
      <c r="X30" s="2"/>
      <c r="Y30" s="12"/>
      <c r="Z30" s="12"/>
      <c r="AA30" s="2" t="str">
        <f ca="1">Messy_Data!AA30</f>
        <v>OK</v>
      </c>
    </row>
    <row r="31" spans="1:27" x14ac:dyDescent="0.3">
      <c r="A31" s="2" t="str">
        <f>Messy_Data!B31</f>
        <v>EMP30</v>
      </c>
      <c r="B31" s="2" t="str">
        <f>Messy_Data!D31</f>
        <v>Rahul</v>
      </c>
      <c r="C31" s="2" t="str">
        <f>Messy_Data!F31</f>
        <v>FINANCE</v>
      </c>
      <c r="D31" s="3">
        <f>Messy_Data!H31</f>
        <v>43491</v>
      </c>
      <c r="E31" s="3">
        <f ca="1">Messy_Data!J31</f>
        <v>44602</v>
      </c>
      <c r="F31" s="2">
        <f>Messy_Data!L31</f>
        <v>9903352588</v>
      </c>
      <c r="G31" s="2" t="str">
        <f>Messy_Data!N31</f>
        <v>kiran@company.com</v>
      </c>
      <c r="H31" s="12">
        <f>Messy_Data!O31</f>
        <v>16098</v>
      </c>
      <c r="I31" s="2" t="str">
        <f>Messy_Data!P31</f>
        <v>Below 20K</v>
      </c>
      <c r="J31" s="2"/>
      <c r="K31" s="2"/>
      <c r="L31" s="2"/>
      <c r="M31" s="2"/>
      <c r="N31" s="2"/>
      <c r="O31" s="2" t="str">
        <f>Messy_Data!S31</f>
        <v>M14</v>
      </c>
      <c r="P31" s="2" t="str">
        <f>Messy_Data!U31</f>
        <v>ACTIVE</v>
      </c>
      <c r="Q31" s="2">
        <f ca="1">Messy_Data!V31</f>
        <v>1111</v>
      </c>
      <c r="R31" s="2">
        <f ca="1">Messy_Data!W31</f>
        <v>36</v>
      </c>
      <c r="S31" s="2">
        <f ca="1">Messy_Data!X31</f>
        <v>3</v>
      </c>
      <c r="T31" s="2"/>
      <c r="U31" s="2"/>
      <c r="V31" s="2"/>
      <c r="W31" s="9"/>
      <c r="X31" s="2"/>
      <c r="Y31" s="12"/>
      <c r="Z31" s="12"/>
      <c r="AA31" s="2" t="str">
        <f ca="1">Messy_Data!AA31</f>
        <v>OK</v>
      </c>
    </row>
    <row r="32" spans="1:27" x14ac:dyDescent="0.3">
      <c r="A32" s="2" t="str">
        <f>Messy_Data!B32</f>
        <v>EMP31</v>
      </c>
      <c r="B32" s="2" t="str">
        <f>Messy_Data!D32</f>
        <v>Suresh</v>
      </c>
      <c r="C32" s="2" t="str">
        <f>Messy_Data!F32</f>
        <v>SALES</v>
      </c>
      <c r="D32" s="3">
        <f>Messy_Data!H32</f>
        <v>45175</v>
      </c>
      <c r="E32" s="3">
        <f ca="1">Messy_Data!J32</f>
        <v>46575</v>
      </c>
      <c r="F32" s="2">
        <f>Messy_Data!L32</f>
        <v>9728495167</v>
      </c>
      <c r="G32" s="2" t="str">
        <f>Messy_Data!N32</f>
        <v>vikas@company.com</v>
      </c>
      <c r="H32" s="12">
        <f>Messy_Data!O32</f>
        <v>31220</v>
      </c>
      <c r="I32" s="2" t="str">
        <f>Messy_Data!P32</f>
        <v>20K-40K</v>
      </c>
      <c r="J32" s="2"/>
      <c r="K32" s="2"/>
      <c r="L32" s="2"/>
      <c r="M32" s="2"/>
      <c r="N32" s="2"/>
      <c r="O32" s="2" t="str">
        <f>Messy_Data!S32</f>
        <v>M14</v>
      </c>
      <c r="P32" s="2" t="str">
        <f>Messy_Data!U32</f>
        <v>RESIGNED</v>
      </c>
      <c r="Q32" s="2">
        <f ca="1">Messy_Data!V32</f>
        <v>1400</v>
      </c>
      <c r="R32" s="2">
        <f ca="1">Messy_Data!W32</f>
        <v>46</v>
      </c>
      <c r="S32" s="2">
        <f ca="1">Messy_Data!X32</f>
        <v>3</v>
      </c>
      <c r="T32" s="2"/>
      <c r="U32" s="2"/>
      <c r="V32" s="2"/>
      <c r="W32" s="9"/>
      <c r="X32" s="2"/>
      <c r="Y32" s="12"/>
      <c r="Z32" s="12"/>
      <c r="AA32" s="2" t="str">
        <f ca="1">Messy_Data!AA32</f>
        <v>OK</v>
      </c>
    </row>
    <row r="33" spans="1:27" x14ac:dyDescent="0.3">
      <c r="A33" s="2" t="str">
        <f>Messy_Data!B33</f>
        <v>EMP32</v>
      </c>
      <c r="B33" s="2" t="str">
        <f>Messy_Data!D33</f>
        <v>Vikas</v>
      </c>
      <c r="C33" s="2" t="str">
        <f>Messy_Data!F33</f>
        <v>SALES</v>
      </c>
      <c r="D33" s="3">
        <f>Messy_Data!H33</f>
        <v>45232</v>
      </c>
      <c r="E33" s="3">
        <f ca="1">Messy_Data!J33</f>
        <v>46323</v>
      </c>
      <c r="F33" s="2">
        <f>Messy_Data!L33</f>
        <v>9693492287</v>
      </c>
      <c r="G33" s="2" t="str">
        <f>Messy_Data!N33</f>
        <v>suresh@gmail.com</v>
      </c>
      <c r="H33" s="12">
        <f>Messy_Data!O33</f>
        <v>58293</v>
      </c>
      <c r="I33" s="2" t="str">
        <f>Messy_Data!P33</f>
        <v>40K-60K</v>
      </c>
      <c r="J33" s="2"/>
      <c r="K33" s="2"/>
      <c r="L33" s="2"/>
      <c r="M33" s="2"/>
      <c r="N33" s="2"/>
      <c r="O33" s="2" t="str">
        <f>Messy_Data!S33</f>
        <v>M6</v>
      </c>
      <c r="P33" s="2" t="str">
        <f>Messy_Data!U33</f>
        <v>ACTIVE</v>
      </c>
      <c r="Q33" s="2">
        <f ca="1">Messy_Data!V33</f>
        <v>1091</v>
      </c>
      <c r="R33" s="2">
        <f ca="1">Messy_Data!W33</f>
        <v>35</v>
      </c>
      <c r="S33" s="2">
        <f ca="1">Messy_Data!X33</f>
        <v>2</v>
      </c>
      <c r="T33" s="2"/>
      <c r="U33" s="2"/>
      <c r="V33" s="2"/>
      <c r="W33" s="9"/>
      <c r="X33" s="2"/>
      <c r="Y33" s="12"/>
      <c r="Z33" s="12"/>
      <c r="AA33" s="2" t="str">
        <f ca="1">Messy_Data!AA33</f>
        <v>OK</v>
      </c>
    </row>
    <row r="34" spans="1:27" x14ac:dyDescent="0.3">
      <c r="A34" s="2" t="str">
        <f>Messy_Data!B34</f>
        <v>EMP33</v>
      </c>
      <c r="B34" s="2" t="str">
        <f>Messy_Data!D34</f>
        <v>Neha</v>
      </c>
      <c r="C34" s="2" t="str">
        <f>Messy_Data!F34</f>
        <v>IT</v>
      </c>
      <c r="D34" s="3">
        <f>Messy_Data!H34</f>
        <v>44155</v>
      </c>
      <c r="E34" s="3">
        <f ca="1">Messy_Data!J34</f>
        <v>44829</v>
      </c>
      <c r="F34" s="2">
        <f>Messy_Data!L34</f>
        <v>9314756300</v>
      </c>
      <c r="G34" s="2" t="str">
        <f>Messy_Data!N34</f>
        <v>sunita@company.com</v>
      </c>
      <c r="H34" s="12">
        <f>Messy_Data!O34</f>
        <v>33146</v>
      </c>
      <c r="I34" s="2" t="str">
        <f>Messy_Data!P34</f>
        <v>20K-40K</v>
      </c>
      <c r="J34" s="2"/>
      <c r="K34" s="2"/>
      <c r="L34" s="2"/>
      <c r="M34" s="2"/>
      <c r="N34" s="2"/>
      <c r="O34" s="2" t="str">
        <f>Messy_Data!S34</f>
        <v>M23</v>
      </c>
      <c r="P34" s="2" t="str">
        <f>Messy_Data!U34</f>
        <v>ACTIVE</v>
      </c>
      <c r="Q34" s="2">
        <f ca="1">Messy_Data!V34</f>
        <v>674</v>
      </c>
      <c r="R34" s="2">
        <f ca="1">Messy_Data!W34</f>
        <v>22</v>
      </c>
      <c r="S34" s="2">
        <f ca="1">Messy_Data!X34</f>
        <v>1</v>
      </c>
      <c r="T34" s="2"/>
      <c r="U34" s="2"/>
      <c r="V34" s="2"/>
      <c r="W34" s="9"/>
      <c r="X34" s="2"/>
      <c r="Y34" s="12"/>
      <c r="Z34" s="12"/>
      <c r="AA34" s="2" t="str">
        <f ca="1">Messy_Data!AA34</f>
        <v>OK</v>
      </c>
    </row>
    <row r="35" spans="1:27" x14ac:dyDescent="0.3">
      <c r="A35" s="2" t="str">
        <f>Messy_Data!B35</f>
        <v>EMP34</v>
      </c>
      <c r="B35" s="2" t="str">
        <f>Messy_Data!D35</f>
        <v>Kiran</v>
      </c>
      <c r="C35" s="2" t="str">
        <f>Messy_Data!F35</f>
        <v>IT</v>
      </c>
      <c r="D35" s="3">
        <f>Messy_Data!H35</f>
        <v>45039</v>
      </c>
      <c r="E35" s="3">
        <f ca="1">Messy_Data!J35</f>
        <v>45906</v>
      </c>
      <c r="F35" s="2">
        <f>Messy_Data!L35</f>
        <v>9590240821</v>
      </c>
      <c r="G35" s="2" t="str">
        <f>Messy_Data!N35</f>
        <v>amit@company.com</v>
      </c>
      <c r="H35" s="12">
        <f>Messy_Data!O35</f>
        <v>59375</v>
      </c>
      <c r="I35" s="2" t="str">
        <f>Messy_Data!P35</f>
        <v>40K-60K</v>
      </c>
      <c r="J35" s="2"/>
      <c r="K35" s="2"/>
      <c r="L35" s="2"/>
      <c r="M35" s="2"/>
      <c r="N35" s="2"/>
      <c r="O35" s="2" t="str">
        <f>Messy_Data!S35</f>
        <v>M12</v>
      </c>
      <c r="P35" s="2" t="str">
        <f>Messy_Data!U35</f>
        <v>ACTIVE</v>
      </c>
      <c r="Q35" s="2">
        <f ca="1">Messy_Data!V35</f>
        <v>867</v>
      </c>
      <c r="R35" s="2">
        <f ca="1">Messy_Data!W35</f>
        <v>28</v>
      </c>
      <c r="S35" s="2">
        <f ca="1">Messy_Data!X35</f>
        <v>2</v>
      </c>
      <c r="T35" s="2"/>
      <c r="U35" s="2"/>
      <c r="V35" s="2"/>
      <c r="W35" s="9"/>
      <c r="X35" s="2"/>
      <c r="Y35" s="12"/>
      <c r="Z35" s="12"/>
      <c r="AA35" s="2" t="str">
        <f ca="1">Messy_Data!AA35</f>
        <v>OK</v>
      </c>
    </row>
    <row r="36" spans="1:27" x14ac:dyDescent="0.3">
      <c r="A36" s="2" t="str">
        <f>Messy_Data!B36</f>
        <v>EMP35</v>
      </c>
      <c r="B36" s="2" t="str">
        <f>Messy_Data!D36</f>
        <v>Pooja</v>
      </c>
      <c r="C36" s="2" t="str">
        <f>Messy_Data!F36</f>
        <v>SALES</v>
      </c>
      <c r="D36" s="3">
        <f>Messy_Data!H36</f>
        <v>45019</v>
      </c>
      <c r="E36" s="3">
        <f ca="1">Messy_Data!J36</f>
        <v>46024</v>
      </c>
      <c r="F36" s="2">
        <f>Messy_Data!L36</f>
        <v>9113594175</v>
      </c>
      <c r="G36" s="2" t="str">
        <f>Messy_Data!N36</f>
        <v>rahul@company.com</v>
      </c>
      <c r="H36" s="12">
        <f>Messy_Data!O36</f>
        <v>89758</v>
      </c>
      <c r="I36" s="2" t="str">
        <f>Messy_Data!P36</f>
        <v>Above 80K</v>
      </c>
      <c r="J36" s="2"/>
      <c r="K36" s="2"/>
      <c r="L36" s="2"/>
      <c r="M36" s="2"/>
      <c r="N36" s="2"/>
      <c r="O36" s="2" t="str">
        <f>Messy_Data!S36</f>
        <v>M7</v>
      </c>
      <c r="P36" s="2" t="str">
        <f>Messy_Data!U36</f>
        <v>ON HOLD</v>
      </c>
      <c r="Q36" s="2">
        <f ca="1">Messy_Data!V36</f>
        <v>1005</v>
      </c>
      <c r="R36" s="2">
        <f ca="1">Messy_Data!W36</f>
        <v>32</v>
      </c>
      <c r="S36" s="2">
        <f ca="1">Messy_Data!X36</f>
        <v>2</v>
      </c>
      <c r="T36" s="2"/>
      <c r="U36" s="2"/>
      <c r="V36" s="2"/>
      <c r="W36" s="9"/>
      <c r="X36" s="2"/>
      <c r="Y36" s="12"/>
      <c r="Z36" s="12"/>
      <c r="AA36" s="2" t="str">
        <f ca="1">Messy_Data!AA36</f>
        <v>OK</v>
      </c>
    </row>
    <row r="37" spans="1:27" x14ac:dyDescent="0.3">
      <c r="A37" s="2" t="str">
        <f>Messy_Data!B37</f>
        <v>EMP36</v>
      </c>
      <c r="B37" s="2" t="str">
        <f>Messy_Data!D37</f>
        <v>Rahul</v>
      </c>
      <c r="C37" s="2" t="str">
        <f>Messy_Data!F37</f>
        <v>FINANCE</v>
      </c>
      <c r="D37" s="3">
        <f>Messy_Data!H37</f>
        <v>44174</v>
      </c>
      <c r="E37" s="3">
        <f ca="1">Messy_Data!J37</f>
        <v>45053</v>
      </c>
      <c r="F37" s="2">
        <f>Messy_Data!L37</f>
        <v>9272201115</v>
      </c>
      <c r="G37" s="2" t="str">
        <f>Messy_Data!N37</f>
        <v>ravi@company.com</v>
      </c>
      <c r="H37" s="12">
        <f>Messy_Data!O37</f>
        <v>26049</v>
      </c>
      <c r="I37" s="2" t="str">
        <f>Messy_Data!P37</f>
        <v>20K-40K</v>
      </c>
      <c r="J37" s="2"/>
      <c r="K37" s="2"/>
      <c r="L37" s="2"/>
      <c r="M37" s="2"/>
      <c r="N37" s="2"/>
      <c r="O37" s="2" t="str">
        <f>Messy_Data!S37</f>
        <v>M16</v>
      </c>
      <c r="P37" s="2" t="str">
        <f>Messy_Data!U37</f>
        <v>RESIGNED</v>
      </c>
      <c r="Q37" s="2">
        <f ca="1">Messy_Data!V37</f>
        <v>879</v>
      </c>
      <c r="R37" s="2">
        <f ca="1">Messy_Data!W37</f>
        <v>28</v>
      </c>
      <c r="S37" s="2">
        <f ca="1">Messy_Data!X37</f>
        <v>2</v>
      </c>
      <c r="T37" s="2"/>
      <c r="U37" s="2"/>
      <c r="V37" s="2"/>
      <c r="W37" s="9"/>
      <c r="X37" s="2"/>
      <c r="Y37" s="12"/>
      <c r="Z37" s="12"/>
      <c r="AA37" s="2" t="str">
        <f ca="1">Messy_Data!AA37</f>
        <v>OK</v>
      </c>
    </row>
    <row r="38" spans="1:27" x14ac:dyDescent="0.3">
      <c r="A38" s="2" t="str">
        <f>Messy_Data!B38</f>
        <v>EMP37</v>
      </c>
      <c r="B38" s="2" t="str">
        <f>Messy_Data!D38</f>
        <v>Ankit</v>
      </c>
      <c r="C38" s="2" t="str">
        <f>Messy_Data!F38</f>
        <v>HR</v>
      </c>
      <c r="D38" s="3">
        <f>Messy_Data!H38</f>
        <v>43652</v>
      </c>
      <c r="E38" s="3">
        <f ca="1">Messy_Data!J38</f>
        <v>44276</v>
      </c>
      <c r="F38" s="2">
        <f>Messy_Data!L38</f>
        <v>9390036297</v>
      </c>
      <c r="G38" s="2" t="str">
        <f>Messy_Data!N38</f>
        <v>amit@company.com</v>
      </c>
      <c r="H38" s="12">
        <f>Messy_Data!O38</f>
        <v>44609</v>
      </c>
      <c r="I38" s="2" t="str">
        <f>Messy_Data!P38</f>
        <v>40K-60K</v>
      </c>
      <c r="J38" s="2"/>
      <c r="K38" s="2"/>
      <c r="L38" s="2"/>
      <c r="M38" s="2"/>
      <c r="N38" s="2"/>
      <c r="O38" s="2" t="str">
        <f>Messy_Data!S38</f>
        <v>M2</v>
      </c>
      <c r="P38" s="2" t="str">
        <f>Messy_Data!U38</f>
        <v>ON HOLD</v>
      </c>
      <c r="Q38" s="2">
        <f ca="1">Messy_Data!V38</f>
        <v>624</v>
      </c>
      <c r="R38" s="2">
        <f ca="1">Messy_Data!W38</f>
        <v>20</v>
      </c>
      <c r="S38" s="2">
        <f ca="1">Messy_Data!X38</f>
        <v>1</v>
      </c>
      <c r="T38" s="2"/>
      <c r="U38" s="2"/>
      <c r="V38" s="2"/>
      <c r="W38" s="9"/>
      <c r="X38" s="2"/>
      <c r="Y38" s="12"/>
      <c r="Z38" s="12"/>
      <c r="AA38" s="2" t="str">
        <f ca="1">Messy_Data!AA38</f>
        <v>OK</v>
      </c>
    </row>
    <row r="39" spans="1:27" x14ac:dyDescent="0.3">
      <c r="A39" s="2" t="str">
        <f>Messy_Data!B39</f>
        <v>EMP38</v>
      </c>
      <c r="B39" s="2" t="str">
        <f>Messy_Data!D39</f>
        <v>Kiran</v>
      </c>
      <c r="C39" s="2" t="str">
        <f>Messy_Data!F39</f>
        <v>HR</v>
      </c>
      <c r="D39" s="3">
        <f>Messy_Data!H39</f>
        <v>44234</v>
      </c>
      <c r="E39" s="3">
        <f ca="1">Messy_Data!J39</f>
        <v>44403</v>
      </c>
      <c r="F39" s="2">
        <f>Messy_Data!L39</f>
        <v>9608496639</v>
      </c>
      <c r="G39" s="2" t="str">
        <f>Messy_Data!N39</f>
        <v>vikas@company.com</v>
      </c>
      <c r="H39" s="12">
        <f>Messy_Data!O39</f>
        <v>38415</v>
      </c>
      <c r="I39" s="2" t="str">
        <f>Messy_Data!P39</f>
        <v>20K-40K</v>
      </c>
      <c r="J39" s="2"/>
      <c r="K39" s="2"/>
      <c r="L39" s="2"/>
      <c r="M39" s="2"/>
      <c r="N39" s="2"/>
      <c r="O39" s="2" t="str">
        <f>Messy_Data!S39</f>
        <v>M23</v>
      </c>
      <c r="P39" s="2" t="str">
        <f>Messy_Data!U39</f>
        <v>ACTIVE</v>
      </c>
      <c r="Q39" s="2">
        <f ca="1">Messy_Data!V39</f>
        <v>169</v>
      </c>
      <c r="R39" s="2">
        <f ca="1">Messy_Data!W39</f>
        <v>5</v>
      </c>
      <c r="S39" s="2">
        <f ca="1">Messy_Data!X39</f>
        <v>0</v>
      </c>
      <c r="T39" s="2"/>
      <c r="U39" s="2"/>
      <c r="V39" s="2"/>
      <c r="W39" s="9"/>
      <c r="X39" s="2"/>
      <c r="Y39" s="12"/>
      <c r="Z39" s="12"/>
      <c r="AA39" s="2" t="str">
        <f ca="1">Messy_Data!AA39</f>
        <v>OK</v>
      </c>
    </row>
    <row r="40" spans="1:27" x14ac:dyDescent="0.3">
      <c r="A40" s="2" t="str">
        <f>Messy_Data!B40</f>
        <v>EMP39</v>
      </c>
      <c r="B40" s="2" t="str">
        <f>Messy_Data!D40</f>
        <v>Ankit</v>
      </c>
      <c r="C40" s="2" t="str">
        <f>Messy_Data!F40</f>
        <v>HR</v>
      </c>
      <c r="D40" s="3">
        <f>Messy_Data!H40</f>
        <v>43997</v>
      </c>
      <c r="E40" s="3">
        <f ca="1">Messy_Data!J40</f>
        <v>44749</v>
      </c>
      <c r="F40" s="2">
        <f>Messy_Data!L40</f>
        <v>9944362729</v>
      </c>
      <c r="G40" s="2" t="str">
        <f>Messy_Data!N40</f>
        <v>rahul@company.com</v>
      </c>
      <c r="H40" s="12">
        <f>Messy_Data!O40</f>
        <v>53603</v>
      </c>
      <c r="I40" s="2" t="str">
        <f>Messy_Data!P40</f>
        <v>40K-60K</v>
      </c>
      <c r="J40" s="2"/>
      <c r="K40" s="2"/>
      <c r="L40" s="2"/>
      <c r="M40" s="2"/>
      <c r="N40" s="2"/>
      <c r="O40" s="2" t="str">
        <f>Messy_Data!S40</f>
        <v>M12</v>
      </c>
      <c r="P40" s="2" t="str">
        <f>Messy_Data!U40</f>
        <v>ON HOLD</v>
      </c>
      <c r="Q40" s="2">
        <f ca="1">Messy_Data!V40</f>
        <v>752</v>
      </c>
      <c r="R40" s="2">
        <f ca="1">Messy_Data!W40</f>
        <v>24</v>
      </c>
      <c r="S40" s="2">
        <f ca="1">Messy_Data!X40</f>
        <v>2</v>
      </c>
      <c r="T40" s="2"/>
      <c r="U40" s="2"/>
      <c r="V40" s="2"/>
      <c r="W40" s="9"/>
      <c r="X40" s="2"/>
      <c r="Y40" s="12"/>
      <c r="Z40" s="12"/>
      <c r="AA40" s="2" t="str">
        <f ca="1">Messy_Data!AA40</f>
        <v>OK</v>
      </c>
    </row>
    <row r="41" spans="1:27" x14ac:dyDescent="0.3">
      <c r="A41" s="2" t="str">
        <f>Messy_Data!B41</f>
        <v>EMP40</v>
      </c>
      <c r="B41" s="2" t="str">
        <f>Messy_Data!D41</f>
        <v>Sunita</v>
      </c>
      <c r="C41" s="2" t="str">
        <f>Messy_Data!F41</f>
        <v>FINANCE</v>
      </c>
      <c r="D41" s="3">
        <f>Messy_Data!H41</f>
        <v>43595</v>
      </c>
      <c r="E41" s="3">
        <f ca="1">Messy_Data!J41</f>
        <v>43868</v>
      </c>
      <c r="F41" s="2">
        <f>Messy_Data!L41</f>
        <v>9366502902</v>
      </c>
      <c r="G41" s="2" t="str">
        <f>Messy_Data!N41</f>
        <v>suresh@gmail.com</v>
      </c>
      <c r="H41" s="12">
        <f>Messy_Data!O41</f>
        <v>85170</v>
      </c>
      <c r="I41" s="2" t="str">
        <f>Messy_Data!P41</f>
        <v>Above 80K</v>
      </c>
      <c r="J41" s="2"/>
      <c r="K41" s="2"/>
      <c r="L41" s="2"/>
      <c r="M41" s="2"/>
      <c r="N41" s="2"/>
      <c r="O41" s="2" t="str">
        <f>Messy_Data!S41</f>
        <v>M15</v>
      </c>
      <c r="P41" s="2" t="str">
        <f>Messy_Data!U41</f>
        <v>ON HOLD</v>
      </c>
      <c r="Q41" s="2">
        <f ca="1">Messy_Data!V41</f>
        <v>273</v>
      </c>
      <c r="R41" s="2">
        <f ca="1">Messy_Data!W41</f>
        <v>8</v>
      </c>
      <c r="S41" s="2">
        <f ca="1">Messy_Data!X41</f>
        <v>0</v>
      </c>
      <c r="T41" s="2"/>
      <c r="U41" s="2"/>
      <c r="V41" s="2"/>
      <c r="W41" s="9"/>
      <c r="X41" s="2"/>
      <c r="Y41" s="12"/>
      <c r="Z41" s="12"/>
      <c r="AA41" s="2" t="str">
        <f ca="1">Messy_Data!AA41</f>
        <v>CHECK</v>
      </c>
    </row>
    <row r="42" spans="1:27" x14ac:dyDescent="0.3">
      <c r="A42" s="2" t="str">
        <f>Messy_Data!B42</f>
        <v>EMP41</v>
      </c>
      <c r="B42" s="2" t="str">
        <f>Messy_Data!D42</f>
        <v>Neha</v>
      </c>
      <c r="C42" s="2" t="str">
        <f>Messy_Data!F42</f>
        <v>IT</v>
      </c>
      <c r="D42" s="3">
        <f>Messy_Data!H42</f>
        <v>44694</v>
      </c>
      <c r="E42" s="3">
        <f ca="1">Messy_Data!J42</f>
        <v>44776</v>
      </c>
      <c r="F42" s="2">
        <f>Messy_Data!L42</f>
        <v>9518335042</v>
      </c>
      <c r="G42" s="2" t="str">
        <f>Messy_Data!N42</f>
        <v>vikas@company.com</v>
      </c>
      <c r="H42" s="12">
        <f>Messy_Data!O42</f>
        <v>46849</v>
      </c>
      <c r="I42" s="2" t="str">
        <f>Messy_Data!P42</f>
        <v>40K-60K</v>
      </c>
      <c r="J42" s="2"/>
      <c r="K42" s="2"/>
      <c r="L42" s="2"/>
      <c r="M42" s="2"/>
      <c r="N42" s="2"/>
      <c r="O42" s="2" t="str">
        <f>Messy_Data!S42</f>
        <v>M11</v>
      </c>
      <c r="P42" s="2" t="str">
        <f>Messy_Data!U42</f>
        <v>RESIGNED</v>
      </c>
      <c r="Q42" s="2">
        <f ca="1">Messy_Data!V42</f>
        <v>82</v>
      </c>
      <c r="R42" s="2">
        <f ca="1">Messy_Data!W42</f>
        <v>2</v>
      </c>
      <c r="S42" s="2">
        <f ca="1">Messy_Data!X42</f>
        <v>0</v>
      </c>
      <c r="T42" s="2"/>
      <c r="U42" s="2"/>
      <c r="V42" s="2"/>
      <c r="W42" s="9"/>
      <c r="X42" s="2"/>
      <c r="Y42" s="12"/>
      <c r="Z42" s="12"/>
      <c r="AA42" s="2" t="str">
        <f ca="1">Messy_Data!AA42</f>
        <v>OK</v>
      </c>
    </row>
    <row r="43" spans="1:27" x14ac:dyDescent="0.3">
      <c r="A43" s="2" t="str">
        <f>Messy_Data!B43</f>
        <v>EMP42</v>
      </c>
      <c r="B43" s="2" t="str">
        <f>Messy_Data!D43</f>
        <v>Neha</v>
      </c>
      <c r="C43" s="2" t="str">
        <f>Messy_Data!F43</f>
        <v>IT</v>
      </c>
      <c r="D43" s="3">
        <f>Messy_Data!H43</f>
        <v>43964</v>
      </c>
      <c r="E43" s="3">
        <f ca="1">Messy_Data!J43</f>
        <v>46024</v>
      </c>
      <c r="F43" s="2">
        <f>Messy_Data!L43</f>
        <v>9338458698</v>
      </c>
      <c r="G43" s="2" t="str">
        <f>Messy_Data!N43</f>
        <v>amit@company.com</v>
      </c>
      <c r="H43" s="12">
        <f>Messy_Data!O43</f>
        <v>42721</v>
      </c>
      <c r="I43" s="2" t="str">
        <f>Messy_Data!P43</f>
        <v>40K-60K</v>
      </c>
      <c r="J43" s="2"/>
      <c r="K43" s="2"/>
      <c r="L43" s="2"/>
      <c r="M43" s="2"/>
      <c r="N43" s="2"/>
      <c r="O43" s="2" t="str">
        <f>Messy_Data!S43</f>
        <v>M16</v>
      </c>
      <c r="P43" s="2" t="str">
        <f>Messy_Data!U43</f>
        <v>ON HOLD</v>
      </c>
      <c r="Q43" s="2">
        <f ca="1">Messy_Data!V43</f>
        <v>2060</v>
      </c>
      <c r="R43" s="2">
        <f ca="1">Messy_Data!W43</f>
        <v>67</v>
      </c>
      <c r="S43" s="2">
        <f ca="1">Messy_Data!X43</f>
        <v>5</v>
      </c>
      <c r="T43" s="2"/>
      <c r="U43" s="2"/>
      <c r="V43" s="2"/>
      <c r="W43" s="9"/>
      <c r="X43" s="2"/>
      <c r="Y43" s="12"/>
      <c r="Z43" s="12"/>
      <c r="AA43" s="2" t="str">
        <f ca="1">Messy_Data!AA43</f>
        <v>OK</v>
      </c>
    </row>
    <row r="44" spans="1:27" x14ac:dyDescent="0.3">
      <c r="A44" s="2" t="str">
        <f>Messy_Data!B44</f>
        <v>EMP43</v>
      </c>
      <c r="B44" s="2" t="str">
        <f>Messy_Data!D44</f>
        <v>Kiran</v>
      </c>
      <c r="C44" s="2" t="str">
        <f>Messy_Data!F44</f>
        <v>SALES</v>
      </c>
      <c r="D44" s="3">
        <f>Messy_Data!H44</f>
        <v>43963</v>
      </c>
      <c r="E44" s="3">
        <f ca="1">Messy_Data!J44</f>
        <v>44781</v>
      </c>
      <c r="F44" s="2">
        <f>Messy_Data!L44</f>
        <v>9481702276</v>
      </c>
      <c r="G44" s="2" t="str">
        <f>Messy_Data!N44</f>
        <v>amit@company.com</v>
      </c>
      <c r="H44" s="12">
        <f>Messy_Data!O44</f>
        <v>19172</v>
      </c>
      <c r="I44" s="2" t="str">
        <f>Messy_Data!P44</f>
        <v>Below 20K</v>
      </c>
      <c r="J44" s="2"/>
      <c r="K44" s="2"/>
      <c r="L44" s="2"/>
      <c r="M44" s="2"/>
      <c r="N44" s="2"/>
      <c r="O44" s="2" t="str">
        <f>Messy_Data!S44</f>
        <v>M16</v>
      </c>
      <c r="P44" s="2" t="str">
        <f>Messy_Data!U44</f>
        <v>RESIGNED</v>
      </c>
      <c r="Q44" s="2">
        <f ca="1">Messy_Data!V44</f>
        <v>818</v>
      </c>
      <c r="R44" s="2">
        <f ca="1">Messy_Data!W44</f>
        <v>26</v>
      </c>
      <c r="S44" s="2">
        <f ca="1">Messy_Data!X44</f>
        <v>2</v>
      </c>
      <c r="T44" s="2"/>
      <c r="U44" s="2"/>
      <c r="V44" s="2"/>
      <c r="W44" s="9"/>
      <c r="X44" s="2"/>
      <c r="Y44" s="12"/>
      <c r="Z44" s="12"/>
      <c r="AA44" s="2" t="str">
        <f ca="1">Messy_Data!AA44</f>
        <v>OK</v>
      </c>
    </row>
    <row r="45" spans="1:27" x14ac:dyDescent="0.3">
      <c r="A45" s="2" t="str">
        <f>Messy_Data!B45</f>
        <v>EMP44</v>
      </c>
      <c r="B45" s="2" t="str">
        <f>Messy_Data!D45</f>
        <v>Neha</v>
      </c>
      <c r="C45" s="2" t="str">
        <f>Messy_Data!F45</f>
        <v>FINANCE</v>
      </c>
      <c r="D45" s="3">
        <f>Messy_Data!H45</f>
        <v>43509</v>
      </c>
      <c r="E45" s="3">
        <f ca="1">Messy_Data!J45</f>
        <v>44256</v>
      </c>
      <c r="F45" s="2">
        <f>Messy_Data!L45</f>
        <v>9491193009</v>
      </c>
      <c r="G45" s="2" t="str">
        <f>Messy_Data!N45</f>
        <v>pooja@company.com</v>
      </c>
      <c r="H45" s="12">
        <f>Messy_Data!O45</f>
        <v>16034</v>
      </c>
      <c r="I45" s="2" t="str">
        <f>Messy_Data!P45</f>
        <v>Below 20K</v>
      </c>
      <c r="J45" s="2"/>
      <c r="K45" s="2"/>
      <c r="L45" s="2"/>
      <c r="M45" s="2"/>
      <c r="N45" s="2"/>
      <c r="O45" s="2" t="str">
        <f>Messy_Data!S45</f>
        <v>M9</v>
      </c>
      <c r="P45" s="2" t="str">
        <f>Messy_Data!U45</f>
        <v>RESIGNED</v>
      </c>
      <c r="Q45" s="2">
        <f ca="1">Messy_Data!V45</f>
        <v>747</v>
      </c>
      <c r="R45" s="2">
        <f ca="1">Messy_Data!W45</f>
        <v>24</v>
      </c>
      <c r="S45" s="2">
        <f ca="1">Messy_Data!X45</f>
        <v>2</v>
      </c>
      <c r="T45" s="2"/>
      <c r="U45" s="2"/>
      <c r="V45" s="2"/>
      <c r="W45" s="9"/>
      <c r="X45" s="2"/>
      <c r="Y45" s="12"/>
      <c r="Z45" s="12"/>
      <c r="AA45" s="2" t="str">
        <f ca="1">Messy_Data!AA45</f>
        <v>OK</v>
      </c>
    </row>
    <row r="46" spans="1:27" x14ac:dyDescent="0.3">
      <c r="A46" s="2" t="str">
        <f>Messy_Data!B46</f>
        <v>EMP45</v>
      </c>
      <c r="B46" s="2" t="str">
        <f>Messy_Data!D46</f>
        <v>Ravi</v>
      </c>
      <c r="C46" s="2" t="str">
        <f>Messy_Data!F46</f>
        <v>IT</v>
      </c>
      <c r="D46" s="3">
        <f>Messy_Data!H46</f>
        <v>44998</v>
      </c>
      <c r="E46" s="3">
        <f ca="1">Messy_Data!J46</f>
        <v>45606</v>
      </c>
      <c r="F46" s="2">
        <f>Messy_Data!L46</f>
        <v>9360125412</v>
      </c>
      <c r="G46" s="2" t="str">
        <f>Messy_Data!N46</f>
        <v>ankit@company.com</v>
      </c>
      <c r="H46" s="12">
        <f>Messy_Data!O46</f>
        <v>16405</v>
      </c>
      <c r="I46" s="2" t="str">
        <f>Messy_Data!P46</f>
        <v>Below 20K</v>
      </c>
      <c r="J46" s="2"/>
      <c r="K46" s="2"/>
      <c r="L46" s="2"/>
      <c r="M46" s="2"/>
      <c r="N46" s="2"/>
      <c r="O46" s="2" t="str">
        <f>Messy_Data!S46</f>
        <v>M21</v>
      </c>
      <c r="P46" s="2" t="str">
        <f>Messy_Data!U46</f>
        <v>RESIGNED</v>
      </c>
      <c r="Q46" s="2">
        <f ca="1">Messy_Data!V46</f>
        <v>608</v>
      </c>
      <c r="R46" s="2">
        <f ca="1">Messy_Data!W46</f>
        <v>19</v>
      </c>
      <c r="S46" s="2">
        <f ca="1">Messy_Data!X46</f>
        <v>1</v>
      </c>
      <c r="T46" s="2"/>
      <c r="U46" s="2"/>
      <c r="V46" s="2"/>
      <c r="W46" s="9"/>
      <c r="X46" s="2"/>
      <c r="Y46" s="12"/>
      <c r="Z46" s="12"/>
      <c r="AA46" s="2" t="str">
        <f ca="1">Messy_Data!AA46</f>
        <v>OK</v>
      </c>
    </row>
    <row r="47" spans="1:27" x14ac:dyDescent="0.3">
      <c r="A47" s="2" t="str">
        <f>Messy_Data!B47</f>
        <v>EMP46</v>
      </c>
      <c r="B47" s="2" t="str">
        <f>Messy_Data!D47</f>
        <v>Kiran</v>
      </c>
      <c r="C47" s="2" t="str">
        <f>Messy_Data!F47</f>
        <v>HR</v>
      </c>
      <c r="D47" s="3">
        <f>Messy_Data!H47</f>
        <v>44462</v>
      </c>
      <c r="E47" s="3">
        <f ca="1">Messy_Data!J47</f>
        <v>44928</v>
      </c>
      <c r="F47" s="2">
        <f>Messy_Data!L47</f>
        <v>9920106801</v>
      </c>
      <c r="G47" s="2" t="str">
        <f>Messy_Data!N47</f>
        <v>kiran@company.com</v>
      </c>
      <c r="H47" s="12">
        <f>Messy_Data!O47</f>
        <v>86501</v>
      </c>
      <c r="I47" s="2" t="str">
        <f>Messy_Data!P47</f>
        <v>Above 80K</v>
      </c>
      <c r="J47" s="2"/>
      <c r="K47" s="2"/>
      <c r="L47" s="2"/>
      <c r="M47" s="2"/>
      <c r="N47" s="2"/>
      <c r="O47" s="2" t="str">
        <f>Messy_Data!S47</f>
        <v>M23</v>
      </c>
      <c r="P47" s="2" t="str">
        <f>Messy_Data!U47</f>
        <v>RESIGNED</v>
      </c>
      <c r="Q47" s="2">
        <f ca="1">Messy_Data!V47</f>
        <v>466</v>
      </c>
      <c r="R47" s="2">
        <f ca="1">Messy_Data!W47</f>
        <v>15</v>
      </c>
      <c r="S47" s="2">
        <f ca="1">Messy_Data!X47</f>
        <v>1</v>
      </c>
      <c r="T47" s="2"/>
      <c r="U47" s="2"/>
      <c r="V47" s="2"/>
      <c r="W47" s="9"/>
      <c r="X47" s="2"/>
      <c r="Y47" s="12"/>
      <c r="Z47" s="12"/>
      <c r="AA47" s="2" t="str">
        <f ca="1">Messy_Data!AA47</f>
        <v>CHECK</v>
      </c>
    </row>
    <row r="48" spans="1:27" x14ac:dyDescent="0.3">
      <c r="A48" s="2" t="str">
        <f>Messy_Data!B48</f>
        <v>EMP47</v>
      </c>
      <c r="B48" s="2" t="str">
        <f>Messy_Data!D48</f>
        <v>Suresh</v>
      </c>
      <c r="C48" s="2" t="str">
        <f>Messy_Data!F48</f>
        <v>SALES</v>
      </c>
      <c r="D48" s="3">
        <f>Messy_Data!H48</f>
        <v>44831</v>
      </c>
      <c r="E48" s="3">
        <f ca="1">Messy_Data!J48</f>
        <v>45976</v>
      </c>
      <c r="F48" s="2">
        <f>Messy_Data!L48</f>
        <v>9333110185</v>
      </c>
      <c r="G48" s="2" t="str">
        <f>Messy_Data!N48</f>
        <v>neha@company.com</v>
      </c>
      <c r="H48" s="12">
        <f>Messy_Data!O48</f>
        <v>72627</v>
      </c>
      <c r="I48" s="2" t="str">
        <f>Messy_Data!P48</f>
        <v>60K-80K</v>
      </c>
      <c r="J48" s="2"/>
      <c r="K48" s="2"/>
      <c r="L48" s="2"/>
      <c r="M48" s="2"/>
      <c r="N48" s="2"/>
      <c r="O48" s="2" t="str">
        <f>Messy_Data!S48</f>
        <v>M21</v>
      </c>
      <c r="P48" s="2" t="str">
        <f>Messy_Data!U48</f>
        <v>RESIGNED</v>
      </c>
      <c r="Q48" s="2">
        <f ca="1">Messy_Data!V48</f>
        <v>1145</v>
      </c>
      <c r="R48" s="2">
        <f ca="1">Messy_Data!W48</f>
        <v>37</v>
      </c>
      <c r="S48" s="2">
        <f ca="1">Messy_Data!X48</f>
        <v>3</v>
      </c>
      <c r="T48" s="2"/>
      <c r="U48" s="2"/>
      <c r="V48" s="2"/>
      <c r="W48" s="9"/>
      <c r="X48" s="2"/>
      <c r="Y48" s="12"/>
      <c r="Z48" s="12"/>
      <c r="AA48" s="2" t="str">
        <f ca="1">Messy_Data!AA48</f>
        <v>OK</v>
      </c>
    </row>
    <row r="49" spans="1:27" x14ac:dyDescent="0.3">
      <c r="A49" s="2" t="str">
        <f>Messy_Data!B49</f>
        <v>EMP48</v>
      </c>
      <c r="B49" s="2" t="str">
        <f>Messy_Data!D49</f>
        <v>Vikas</v>
      </c>
      <c r="C49" s="2" t="str">
        <f>Messy_Data!F49</f>
        <v>FINANCE</v>
      </c>
      <c r="D49" s="3">
        <f>Messy_Data!H49</f>
        <v>45183</v>
      </c>
      <c r="E49" s="3">
        <f ca="1">Messy_Data!J49</f>
        <v>46492</v>
      </c>
      <c r="F49" s="2">
        <f>Messy_Data!L49</f>
        <v>9592016666</v>
      </c>
      <c r="G49" s="2" t="str">
        <f>Messy_Data!N49</f>
        <v>sunita@gmail.com</v>
      </c>
      <c r="H49" s="12">
        <f>Messy_Data!O49</f>
        <v>22249</v>
      </c>
      <c r="I49" s="2" t="str">
        <f>Messy_Data!P49</f>
        <v>20K-40K</v>
      </c>
      <c r="J49" s="2"/>
      <c r="K49" s="2"/>
      <c r="L49" s="2"/>
      <c r="M49" s="2"/>
      <c r="N49" s="2"/>
      <c r="O49" s="2" t="str">
        <f>Messy_Data!S49</f>
        <v>M12</v>
      </c>
      <c r="P49" s="2" t="str">
        <f>Messy_Data!U49</f>
        <v>ACTIVE</v>
      </c>
      <c r="Q49" s="2">
        <f ca="1">Messy_Data!V49</f>
        <v>1309</v>
      </c>
      <c r="R49" s="2">
        <f ca="1">Messy_Data!W49</f>
        <v>43</v>
      </c>
      <c r="S49" s="2">
        <f ca="1">Messy_Data!X49</f>
        <v>3</v>
      </c>
      <c r="T49" s="2"/>
      <c r="U49" s="2"/>
      <c r="V49" s="2"/>
      <c r="W49" s="9"/>
      <c r="X49" s="2"/>
      <c r="Y49" s="12"/>
      <c r="Z49" s="12"/>
      <c r="AA49" s="2" t="str">
        <f ca="1">Messy_Data!AA49</f>
        <v>OK</v>
      </c>
    </row>
    <row r="50" spans="1:27" x14ac:dyDescent="0.3">
      <c r="A50" s="2" t="str">
        <f>Messy_Data!B50</f>
        <v>EMP49</v>
      </c>
      <c r="B50" s="2" t="str">
        <f>Messy_Data!D50</f>
        <v>Vikas</v>
      </c>
      <c r="C50" s="2" t="str">
        <f>Messy_Data!F50</f>
        <v>HR</v>
      </c>
      <c r="D50" s="3">
        <f>Messy_Data!H50</f>
        <v>44005</v>
      </c>
      <c r="E50" s="3">
        <f ca="1">Messy_Data!J50</f>
        <v>46024</v>
      </c>
      <c r="F50" s="2">
        <f>Messy_Data!L50</f>
        <v>9732789985</v>
      </c>
      <c r="G50" s="2" t="str">
        <f>Messy_Data!N50</f>
        <v>pooja@company.com</v>
      </c>
      <c r="H50" s="12">
        <f>Messy_Data!O50</f>
        <v>28257</v>
      </c>
      <c r="I50" s="2" t="str">
        <f>Messy_Data!P50</f>
        <v>20K-40K</v>
      </c>
      <c r="J50" s="2"/>
      <c r="K50" s="2"/>
      <c r="L50" s="2"/>
      <c r="M50" s="2"/>
      <c r="N50" s="2"/>
      <c r="O50" s="2" t="str">
        <f>Messy_Data!S50</f>
        <v>M18</v>
      </c>
      <c r="P50" s="2" t="str">
        <f>Messy_Data!U50</f>
        <v>RESIGNED</v>
      </c>
      <c r="Q50" s="2">
        <f ca="1">Messy_Data!V50</f>
        <v>2019</v>
      </c>
      <c r="R50" s="2">
        <f ca="1">Messy_Data!W50</f>
        <v>66</v>
      </c>
      <c r="S50" s="2">
        <f ca="1">Messy_Data!X50</f>
        <v>5</v>
      </c>
      <c r="T50" s="2"/>
      <c r="U50" s="2"/>
      <c r="V50" s="2"/>
      <c r="W50" s="9"/>
      <c r="X50" s="2"/>
      <c r="Y50" s="12"/>
      <c r="Z50" s="12"/>
      <c r="AA50" s="2" t="str">
        <f ca="1">Messy_Data!AA50</f>
        <v>OK</v>
      </c>
    </row>
    <row r="51" spans="1:27" x14ac:dyDescent="0.3">
      <c r="A51" s="2" t="str">
        <f>Messy_Data!B51</f>
        <v>EMP50</v>
      </c>
      <c r="B51" s="2" t="str">
        <f>Messy_Data!D51</f>
        <v>Vikas</v>
      </c>
      <c r="C51" s="2" t="str">
        <f>Messy_Data!F51</f>
        <v>FINANCE</v>
      </c>
      <c r="D51" s="3">
        <f>Messy_Data!H51</f>
        <v>43466</v>
      </c>
      <c r="E51" s="3">
        <f ca="1">Messy_Data!J51</f>
        <v>44303</v>
      </c>
      <c r="F51" s="2">
        <f>Messy_Data!L51</f>
        <v>9978655464</v>
      </c>
      <c r="G51" s="2" t="str">
        <f>Messy_Data!N51</f>
        <v>pooja@company.com</v>
      </c>
      <c r="H51" s="12">
        <f>Messy_Data!O51</f>
        <v>22344</v>
      </c>
      <c r="I51" s="2" t="str">
        <f>Messy_Data!P51</f>
        <v>20K-40K</v>
      </c>
      <c r="J51" s="2"/>
      <c r="K51" s="2"/>
      <c r="L51" s="2"/>
      <c r="M51" s="2"/>
      <c r="N51" s="2"/>
      <c r="O51" s="2" t="str">
        <f>Messy_Data!S51</f>
        <v>M13</v>
      </c>
      <c r="P51" s="2" t="str">
        <f>Messy_Data!U51</f>
        <v>ACTIVE</v>
      </c>
      <c r="Q51" s="2">
        <f ca="1">Messy_Data!V51</f>
        <v>837</v>
      </c>
      <c r="R51" s="2">
        <f ca="1">Messy_Data!W51</f>
        <v>27</v>
      </c>
      <c r="S51" s="2">
        <f ca="1">Messy_Data!X51</f>
        <v>2</v>
      </c>
      <c r="T51" s="2"/>
      <c r="U51" s="2"/>
      <c r="V51" s="2"/>
      <c r="W51" s="9"/>
      <c r="X51" s="2"/>
      <c r="Y51" s="12"/>
      <c r="Z51" s="12"/>
      <c r="AA51" s="2" t="str">
        <f ca="1">Messy_Data!AA51</f>
        <v>OK</v>
      </c>
    </row>
    <row r="52" spans="1:27" x14ac:dyDescent="0.3">
      <c r="A52" s="2" t="str">
        <f>Messy_Data!B52</f>
        <v>EMP51</v>
      </c>
      <c r="B52" s="2" t="str">
        <f>Messy_Data!D52</f>
        <v>Amit</v>
      </c>
      <c r="C52" s="2" t="str">
        <f>Messy_Data!F52</f>
        <v>IT</v>
      </c>
      <c r="D52" s="3">
        <f>Messy_Data!H52</f>
        <v>44388</v>
      </c>
      <c r="E52" s="3">
        <f ca="1">Messy_Data!J52</f>
        <v>44930</v>
      </c>
      <c r="F52" s="2">
        <f>Messy_Data!L52</f>
        <v>9280073325</v>
      </c>
      <c r="G52" s="2" t="str">
        <f>Messy_Data!N52</f>
        <v>rahul@company.com</v>
      </c>
      <c r="H52" s="12">
        <f>Messy_Data!O52</f>
        <v>89535</v>
      </c>
      <c r="I52" s="2" t="str">
        <f>Messy_Data!P52</f>
        <v>Above 80K</v>
      </c>
      <c r="J52" s="2"/>
      <c r="K52" s="2"/>
      <c r="L52" s="2"/>
      <c r="M52" s="2"/>
      <c r="N52" s="2"/>
      <c r="O52" s="2" t="str">
        <f>Messy_Data!S52</f>
        <v>M11</v>
      </c>
      <c r="P52" s="2" t="str">
        <f>Messy_Data!U52</f>
        <v>RESIGNED</v>
      </c>
      <c r="Q52" s="2">
        <f ca="1">Messy_Data!V52</f>
        <v>542</v>
      </c>
      <c r="R52" s="2">
        <f ca="1">Messy_Data!W52</f>
        <v>17</v>
      </c>
      <c r="S52" s="2">
        <f ca="1">Messy_Data!X52</f>
        <v>1</v>
      </c>
      <c r="T52" s="2"/>
      <c r="U52" s="2"/>
      <c r="V52" s="2"/>
      <c r="W52" s="9"/>
      <c r="X52" s="2"/>
      <c r="Y52" s="12"/>
      <c r="Z52" s="12"/>
      <c r="AA52" s="2" t="str">
        <f ca="1">Messy_Data!AA52</f>
        <v>CHECK</v>
      </c>
    </row>
    <row r="53" spans="1:27" x14ac:dyDescent="0.3">
      <c r="A53" s="2" t="str">
        <f>Messy_Data!B53</f>
        <v>EMP52</v>
      </c>
      <c r="B53" s="2" t="str">
        <f>Messy_Data!D53</f>
        <v>Sunita</v>
      </c>
      <c r="C53" s="2" t="str">
        <f>Messy_Data!F53</f>
        <v>IT</v>
      </c>
      <c r="D53" s="3">
        <f>Messy_Data!H53</f>
        <v>44548</v>
      </c>
      <c r="E53" s="3">
        <f ca="1">Messy_Data!J53</f>
        <v>44722</v>
      </c>
      <c r="F53" s="2">
        <f>Messy_Data!L53</f>
        <v>9574905802</v>
      </c>
      <c r="G53" s="2" t="str">
        <f>Messy_Data!N53</f>
        <v>rahul@company.com</v>
      </c>
      <c r="H53" s="12">
        <f>Messy_Data!O53</f>
        <v>41332</v>
      </c>
      <c r="I53" s="2" t="str">
        <f>Messy_Data!P53</f>
        <v>40K-60K</v>
      </c>
      <c r="J53" s="2"/>
      <c r="K53" s="2"/>
      <c r="L53" s="2"/>
      <c r="M53" s="2"/>
      <c r="N53" s="2"/>
      <c r="O53" s="2" t="str">
        <f>Messy_Data!S53</f>
        <v>M21</v>
      </c>
      <c r="P53" s="2" t="str">
        <f>Messy_Data!U53</f>
        <v>ACTIVE</v>
      </c>
      <c r="Q53" s="2">
        <f ca="1">Messy_Data!V53</f>
        <v>174</v>
      </c>
      <c r="R53" s="2">
        <f ca="1">Messy_Data!W53</f>
        <v>5</v>
      </c>
      <c r="S53" s="2">
        <f ca="1">Messy_Data!X53</f>
        <v>0</v>
      </c>
      <c r="T53" s="2"/>
      <c r="U53" s="2"/>
      <c r="V53" s="2"/>
      <c r="W53" s="9"/>
      <c r="X53" s="2"/>
      <c r="Y53" s="12"/>
      <c r="Z53" s="12"/>
      <c r="AA53" s="2" t="str">
        <f ca="1">Messy_Data!AA53</f>
        <v>OK</v>
      </c>
    </row>
    <row r="54" spans="1:27" x14ac:dyDescent="0.3">
      <c r="A54" s="2" t="str">
        <f>Messy_Data!B54</f>
        <v>EMP53</v>
      </c>
      <c r="B54" s="2" t="str">
        <f>Messy_Data!D54</f>
        <v>Ankit</v>
      </c>
      <c r="C54" s="2" t="str">
        <f>Messy_Data!F54</f>
        <v>IT</v>
      </c>
      <c r="D54" s="3">
        <f>Messy_Data!H54</f>
        <v>44241</v>
      </c>
      <c r="E54" s="3">
        <f ca="1">Messy_Data!J54</f>
        <v>45288</v>
      </c>
      <c r="F54" s="2">
        <f>Messy_Data!L54</f>
        <v>9150264705</v>
      </c>
      <c r="G54" s="2" t="str">
        <f>Messy_Data!N54</f>
        <v>suresh@company.com</v>
      </c>
      <c r="H54" s="12">
        <f>Messy_Data!O54</f>
        <v>51286</v>
      </c>
      <c r="I54" s="2" t="str">
        <f>Messy_Data!P54</f>
        <v>40K-60K</v>
      </c>
      <c r="J54" s="2"/>
      <c r="K54" s="2"/>
      <c r="L54" s="2"/>
      <c r="M54" s="2"/>
      <c r="N54" s="2"/>
      <c r="O54" s="2" t="str">
        <f>Messy_Data!S54</f>
        <v>M9</v>
      </c>
      <c r="P54" s="2" t="str">
        <f>Messy_Data!U54</f>
        <v>ACTIVE</v>
      </c>
      <c r="Q54" s="2">
        <f ca="1">Messy_Data!V54</f>
        <v>1047</v>
      </c>
      <c r="R54" s="2">
        <f ca="1">Messy_Data!W54</f>
        <v>34</v>
      </c>
      <c r="S54" s="2">
        <f ca="1">Messy_Data!X54</f>
        <v>2</v>
      </c>
      <c r="T54" s="2"/>
      <c r="U54" s="2"/>
      <c r="V54" s="2"/>
      <c r="W54" s="9"/>
      <c r="X54" s="2"/>
      <c r="Y54" s="12"/>
      <c r="Z54" s="12"/>
      <c r="AA54" s="2" t="str">
        <f ca="1">Messy_Data!AA54</f>
        <v>OK</v>
      </c>
    </row>
    <row r="55" spans="1:27" x14ac:dyDescent="0.3">
      <c r="A55" s="2" t="str">
        <f>Messy_Data!B55</f>
        <v>EMP54</v>
      </c>
      <c r="B55" s="2" t="str">
        <f>Messy_Data!D55</f>
        <v>Vikas</v>
      </c>
      <c r="C55" s="2" t="str">
        <f>Messy_Data!F55</f>
        <v>IT</v>
      </c>
      <c r="D55" s="3">
        <f>Messy_Data!H55</f>
        <v>44522</v>
      </c>
      <c r="E55" s="3">
        <f ca="1">Messy_Data!J55</f>
        <v>45303</v>
      </c>
      <c r="F55" s="2">
        <f>Messy_Data!L55</f>
        <v>9269938449</v>
      </c>
      <c r="G55" s="2" t="str">
        <f>Messy_Data!N55</f>
        <v>suresh@company.com</v>
      </c>
      <c r="H55" s="12">
        <f>Messy_Data!O55</f>
        <v>88282</v>
      </c>
      <c r="I55" s="2" t="str">
        <f>Messy_Data!P55</f>
        <v>Above 80K</v>
      </c>
      <c r="J55" s="2"/>
      <c r="K55" s="2"/>
      <c r="L55" s="2"/>
      <c r="M55" s="2"/>
      <c r="N55" s="2"/>
      <c r="O55" s="2" t="str">
        <f>Messy_Data!S55</f>
        <v>M15</v>
      </c>
      <c r="P55" s="2" t="str">
        <f>Messy_Data!U55</f>
        <v>ON HOLD</v>
      </c>
      <c r="Q55" s="2">
        <f ca="1">Messy_Data!V55</f>
        <v>781</v>
      </c>
      <c r="R55" s="2">
        <f ca="1">Messy_Data!W55</f>
        <v>25</v>
      </c>
      <c r="S55" s="2">
        <f ca="1">Messy_Data!X55</f>
        <v>2</v>
      </c>
      <c r="T55" s="2"/>
      <c r="U55" s="2"/>
      <c r="V55" s="2"/>
      <c r="W55" s="9"/>
      <c r="X55" s="2"/>
      <c r="Y55" s="12"/>
      <c r="Z55" s="12"/>
      <c r="AA55" s="2" t="str">
        <f ca="1">Messy_Data!AA55</f>
        <v>OK</v>
      </c>
    </row>
    <row r="56" spans="1:27" x14ac:dyDescent="0.3">
      <c r="A56" s="2" t="str">
        <f>Messy_Data!B56</f>
        <v>EMP55</v>
      </c>
      <c r="B56" s="2" t="str">
        <f>Messy_Data!D56</f>
        <v>Ravi</v>
      </c>
      <c r="C56" s="2" t="str">
        <f>Messy_Data!F56</f>
        <v>SALES</v>
      </c>
      <c r="D56" s="3">
        <f>Messy_Data!H56</f>
        <v>44778</v>
      </c>
      <c r="E56" s="3">
        <f ca="1">Messy_Data!J56</f>
        <v>46227</v>
      </c>
      <c r="F56" s="2">
        <f>Messy_Data!L56</f>
        <v>9413347053</v>
      </c>
      <c r="G56" s="2" t="str">
        <f>Messy_Data!N56</f>
        <v>neha@company.com</v>
      </c>
      <c r="H56" s="12">
        <f>Messy_Data!O56</f>
        <v>13846</v>
      </c>
      <c r="I56" s="2" t="str">
        <f>Messy_Data!P56</f>
        <v>Below 20K</v>
      </c>
      <c r="J56" s="2"/>
      <c r="K56" s="2"/>
      <c r="L56" s="2"/>
      <c r="M56" s="2"/>
      <c r="N56" s="2"/>
      <c r="O56" s="2" t="str">
        <f>Messy_Data!S56</f>
        <v>M5</v>
      </c>
      <c r="P56" s="2" t="str">
        <f>Messy_Data!U56</f>
        <v>RESIGNED</v>
      </c>
      <c r="Q56" s="2">
        <f ca="1">Messy_Data!V56</f>
        <v>1449</v>
      </c>
      <c r="R56" s="2">
        <f ca="1">Messy_Data!W56</f>
        <v>47</v>
      </c>
      <c r="S56" s="2">
        <f ca="1">Messy_Data!X56</f>
        <v>3</v>
      </c>
      <c r="T56" s="2"/>
      <c r="U56" s="2"/>
      <c r="V56" s="2"/>
      <c r="W56" s="9"/>
      <c r="X56" s="2"/>
      <c r="Y56" s="12"/>
      <c r="Z56" s="12"/>
      <c r="AA56" s="2" t="str">
        <f ca="1">Messy_Data!AA56</f>
        <v>OK</v>
      </c>
    </row>
    <row r="57" spans="1:27" x14ac:dyDescent="0.3">
      <c r="A57" s="2" t="str">
        <f>Messy_Data!B57</f>
        <v>EMP56</v>
      </c>
      <c r="B57" s="2" t="str">
        <f>Messy_Data!D57</f>
        <v>Amit</v>
      </c>
      <c r="C57" s="2" t="str">
        <f>Messy_Data!F57</f>
        <v>HR</v>
      </c>
      <c r="D57" s="3">
        <f>Messy_Data!H57</f>
        <v>45203</v>
      </c>
      <c r="E57" s="3">
        <f ca="1">Messy_Data!J57</f>
        <v>46024</v>
      </c>
      <c r="F57" s="2">
        <f>Messy_Data!L57</f>
        <v>9966022829</v>
      </c>
      <c r="G57" s="2" t="str">
        <f>Messy_Data!N57</f>
        <v>amit@gmail.com</v>
      </c>
      <c r="H57" s="12">
        <f>Messy_Data!O57</f>
        <v>38245</v>
      </c>
      <c r="I57" s="2" t="str">
        <f>Messy_Data!P57</f>
        <v>20K-40K</v>
      </c>
      <c r="J57" s="2"/>
      <c r="K57" s="2"/>
      <c r="L57" s="2"/>
      <c r="M57" s="2"/>
      <c r="N57" s="2"/>
      <c r="O57" s="2" t="str">
        <f>Messy_Data!S57</f>
        <v>M25</v>
      </c>
      <c r="P57" s="2" t="str">
        <f>Messy_Data!U57</f>
        <v>ACTIVE</v>
      </c>
      <c r="Q57" s="2">
        <f ca="1">Messy_Data!V57</f>
        <v>821</v>
      </c>
      <c r="R57" s="2">
        <f ca="1">Messy_Data!W57</f>
        <v>26</v>
      </c>
      <c r="S57" s="2">
        <f ca="1">Messy_Data!X57</f>
        <v>2</v>
      </c>
      <c r="T57" s="2"/>
      <c r="U57" s="2"/>
      <c r="V57" s="2"/>
      <c r="W57" s="9"/>
      <c r="X57" s="2"/>
      <c r="Y57" s="12"/>
      <c r="Z57" s="12"/>
      <c r="AA57" s="2" t="str">
        <f ca="1">Messy_Data!AA57</f>
        <v>OK</v>
      </c>
    </row>
    <row r="58" spans="1:27" x14ac:dyDescent="0.3">
      <c r="A58" s="2" t="str">
        <f>Messy_Data!B58</f>
        <v>EMP57</v>
      </c>
      <c r="B58" s="2" t="str">
        <f>Messy_Data!D58</f>
        <v>Neha</v>
      </c>
      <c r="C58" s="2" t="str">
        <f>Messy_Data!F58</f>
        <v>FINANCE</v>
      </c>
      <c r="D58" s="3">
        <f>Messy_Data!H58</f>
        <v>43663</v>
      </c>
      <c r="E58" s="3">
        <f ca="1">Messy_Data!J58</f>
        <v>45118</v>
      </c>
      <c r="F58" s="2">
        <f>Messy_Data!L58</f>
        <v>9961338719</v>
      </c>
      <c r="G58" s="2" t="str">
        <f>Messy_Data!N58</f>
        <v>neha@company.com</v>
      </c>
      <c r="H58" s="12">
        <f>Messy_Data!O58</f>
        <v>64469</v>
      </c>
      <c r="I58" s="2" t="str">
        <f>Messy_Data!P58</f>
        <v>60K-80K</v>
      </c>
      <c r="J58" s="2"/>
      <c r="K58" s="2"/>
      <c r="L58" s="2"/>
      <c r="M58" s="2"/>
      <c r="N58" s="2"/>
      <c r="O58" s="2" t="str">
        <f>Messy_Data!S58</f>
        <v>M6</v>
      </c>
      <c r="P58" s="2" t="str">
        <f>Messy_Data!U58</f>
        <v>RESIGNED</v>
      </c>
      <c r="Q58" s="2">
        <f ca="1">Messy_Data!V58</f>
        <v>1455</v>
      </c>
      <c r="R58" s="2">
        <f ca="1">Messy_Data!W58</f>
        <v>47</v>
      </c>
      <c r="S58" s="2">
        <f ca="1">Messy_Data!X58</f>
        <v>3</v>
      </c>
      <c r="T58" s="2"/>
      <c r="U58" s="2"/>
      <c r="V58" s="2"/>
      <c r="W58" s="9"/>
      <c r="X58" s="2"/>
      <c r="Y58" s="12"/>
      <c r="Z58" s="12"/>
      <c r="AA58" s="2" t="str">
        <f ca="1">Messy_Data!AA58</f>
        <v>OK</v>
      </c>
    </row>
    <row r="59" spans="1:27" x14ac:dyDescent="0.3">
      <c r="A59" s="2" t="str">
        <f>Messy_Data!B59</f>
        <v>EMP58</v>
      </c>
      <c r="B59" s="2" t="str">
        <f>Messy_Data!D59</f>
        <v>Suresh</v>
      </c>
      <c r="C59" s="2" t="str">
        <f>Messy_Data!F59</f>
        <v>FINANCE</v>
      </c>
      <c r="D59" s="3">
        <f>Messy_Data!H59</f>
        <v>44072</v>
      </c>
      <c r="E59" s="3">
        <f ca="1">Messy_Data!J59</f>
        <v>44511</v>
      </c>
      <c r="F59" s="2">
        <f>Messy_Data!L59</f>
        <v>9781844002</v>
      </c>
      <c r="G59" s="2" t="str">
        <f>Messy_Data!N59</f>
        <v>kiran@company.com</v>
      </c>
      <c r="H59" s="12">
        <f>Messy_Data!O59</f>
        <v>16362</v>
      </c>
      <c r="I59" s="2" t="str">
        <f>Messy_Data!P59</f>
        <v>Below 20K</v>
      </c>
      <c r="J59" s="2"/>
      <c r="K59" s="2"/>
      <c r="L59" s="2"/>
      <c r="M59" s="2"/>
      <c r="N59" s="2"/>
      <c r="O59" s="2" t="str">
        <f>Messy_Data!S59</f>
        <v>M17</v>
      </c>
      <c r="P59" s="2" t="str">
        <f>Messy_Data!U59</f>
        <v>ON HOLD</v>
      </c>
      <c r="Q59" s="2">
        <f ca="1">Messy_Data!V59</f>
        <v>439</v>
      </c>
      <c r="R59" s="2">
        <f ca="1">Messy_Data!W59</f>
        <v>14</v>
      </c>
      <c r="S59" s="2">
        <f ca="1">Messy_Data!X59</f>
        <v>1</v>
      </c>
      <c r="T59" s="2"/>
      <c r="U59" s="2"/>
      <c r="V59" s="2"/>
      <c r="W59" s="9"/>
      <c r="X59" s="2"/>
      <c r="Y59" s="12"/>
      <c r="Z59" s="12"/>
      <c r="AA59" s="2" t="str">
        <f ca="1">Messy_Data!AA59</f>
        <v>OK</v>
      </c>
    </row>
    <row r="60" spans="1:27" x14ac:dyDescent="0.3">
      <c r="A60" s="2" t="str">
        <f>Messy_Data!B60</f>
        <v>EMP59</v>
      </c>
      <c r="B60" s="2" t="str">
        <f>Messy_Data!D60</f>
        <v>Sunita</v>
      </c>
      <c r="C60" s="2" t="str">
        <f>Messy_Data!F60</f>
        <v>HR</v>
      </c>
      <c r="D60" s="3">
        <f>Messy_Data!H60</f>
        <v>44183</v>
      </c>
      <c r="E60" s="3">
        <f ca="1">Messy_Data!J60</f>
        <v>45181</v>
      </c>
      <c r="F60" s="2">
        <f>Messy_Data!L60</f>
        <v>9362739145</v>
      </c>
      <c r="G60" s="2" t="str">
        <f>Messy_Data!N60</f>
        <v>ankit@company.com</v>
      </c>
      <c r="H60" s="12">
        <f>Messy_Data!O60</f>
        <v>90196</v>
      </c>
      <c r="I60" s="2" t="str">
        <f>Messy_Data!P60</f>
        <v>Above 80K</v>
      </c>
      <c r="J60" s="2"/>
      <c r="K60" s="2"/>
      <c r="L60" s="2"/>
      <c r="M60" s="2"/>
      <c r="N60" s="2"/>
      <c r="O60" s="2" t="str">
        <f>Messy_Data!S60</f>
        <v>M13</v>
      </c>
      <c r="P60" s="2" t="str">
        <f>Messy_Data!U60</f>
        <v>RESIGNED</v>
      </c>
      <c r="Q60" s="2">
        <f ca="1">Messy_Data!V60</f>
        <v>998</v>
      </c>
      <c r="R60" s="2">
        <f ca="1">Messy_Data!W60</f>
        <v>32</v>
      </c>
      <c r="S60" s="2">
        <f ca="1">Messy_Data!X60</f>
        <v>2</v>
      </c>
      <c r="T60" s="2"/>
      <c r="U60" s="2"/>
      <c r="V60" s="2"/>
      <c r="W60" s="9"/>
      <c r="X60" s="2"/>
      <c r="Y60" s="12"/>
      <c r="Z60" s="12"/>
      <c r="AA60" s="2" t="str">
        <f ca="1">Messy_Data!AA60</f>
        <v>OK</v>
      </c>
    </row>
    <row r="61" spans="1:27" x14ac:dyDescent="0.3">
      <c r="A61" s="2" t="str">
        <f>Messy_Data!B61</f>
        <v>EMP60</v>
      </c>
      <c r="B61" s="2" t="str">
        <f>Messy_Data!D61</f>
        <v>Suresh</v>
      </c>
      <c r="C61" s="2" t="str">
        <f>Messy_Data!F61</f>
        <v>SALES</v>
      </c>
      <c r="D61" s="3">
        <f>Messy_Data!H61</f>
        <v>44890</v>
      </c>
      <c r="E61" s="3">
        <f ca="1">Messy_Data!J61</f>
        <v>45825</v>
      </c>
      <c r="F61" s="2">
        <f>Messy_Data!L61</f>
        <v>9950092410</v>
      </c>
      <c r="G61" s="2" t="str">
        <f>Messy_Data!N61</f>
        <v>vikas@company.com</v>
      </c>
      <c r="H61" s="12">
        <f>Messy_Data!O61</f>
        <v>92836</v>
      </c>
      <c r="I61" s="2" t="str">
        <f>Messy_Data!P61</f>
        <v>Above 80K</v>
      </c>
      <c r="J61" s="2"/>
      <c r="K61" s="2"/>
      <c r="L61" s="2"/>
      <c r="M61" s="2"/>
      <c r="N61" s="2"/>
      <c r="O61" s="2" t="str">
        <f>Messy_Data!S61</f>
        <v>M10</v>
      </c>
      <c r="P61" s="2" t="str">
        <f>Messy_Data!U61</f>
        <v>ACTIVE</v>
      </c>
      <c r="Q61" s="2">
        <f ca="1">Messy_Data!V61</f>
        <v>935</v>
      </c>
      <c r="R61" s="2">
        <f ca="1">Messy_Data!W61</f>
        <v>30</v>
      </c>
      <c r="S61" s="2">
        <f ca="1">Messy_Data!X61</f>
        <v>2</v>
      </c>
      <c r="T61" s="2"/>
      <c r="U61" s="2"/>
      <c r="V61" s="2"/>
      <c r="W61" s="9"/>
      <c r="X61" s="2"/>
      <c r="Y61" s="12"/>
      <c r="Z61" s="12"/>
      <c r="AA61" s="2" t="str">
        <f ca="1">Messy_Data!AA61</f>
        <v>OK</v>
      </c>
    </row>
    <row r="62" spans="1:27" x14ac:dyDescent="0.3">
      <c r="A62" s="2" t="str">
        <f>Messy_Data!B62</f>
        <v>EMP61</v>
      </c>
      <c r="B62" s="2" t="str">
        <f>Messy_Data!D62</f>
        <v>Amit</v>
      </c>
      <c r="C62" s="2" t="str">
        <f>Messy_Data!F62</f>
        <v>IT</v>
      </c>
      <c r="D62" s="3">
        <f>Messy_Data!H62</f>
        <v>43846</v>
      </c>
      <c r="E62" s="3">
        <f ca="1">Messy_Data!J62</f>
        <v>44694</v>
      </c>
      <c r="F62" s="2">
        <f>Messy_Data!L62</f>
        <v>9320375248</v>
      </c>
      <c r="G62" s="2" t="str">
        <f>Messy_Data!N62</f>
        <v>kiran@company.com</v>
      </c>
      <c r="H62" s="12">
        <f>Messy_Data!O62</f>
        <v>61481</v>
      </c>
      <c r="I62" s="2" t="str">
        <f>Messy_Data!P62</f>
        <v>60K-80K</v>
      </c>
      <c r="J62" s="2"/>
      <c r="K62" s="2"/>
      <c r="L62" s="2"/>
      <c r="M62" s="2"/>
      <c r="N62" s="2"/>
      <c r="O62" s="2" t="str">
        <f>Messy_Data!S62</f>
        <v>M10</v>
      </c>
      <c r="P62" s="2" t="str">
        <f>Messy_Data!U62</f>
        <v>ON HOLD</v>
      </c>
      <c r="Q62" s="2">
        <f ca="1">Messy_Data!V62</f>
        <v>848</v>
      </c>
      <c r="R62" s="2">
        <f ca="1">Messy_Data!W62</f>
        <v>27</v>
      </c>
      <c r="S62" s="2">
        <f ca="1">Messy_Data!X62</f>
        <v>2</v>
      </c>
      <c r="T62" s="2"/>
      <c r="U62" s="2"/>
      <c r="V62" s="2"/>
      <c r="W62" s="9"/>
      <c r="X62" s="2"/>
      <c r="Y62" s="12"/>
      <c r="Z62" s="12"/>
      <c r="AA62" s="2" t="str">
        <f ca="1">Messy_Data!AA62</f>
        <v>OK</v>
      </c>
    </row>
    <row r="63" spans="1:27" x14ac:dyDescent="0.3">
      <c r="A63" s="2" t="str">
        <f>Messy_Data!B63</f>
        <v>EMP62</v>
      </c>
      <c r="B63" s="2" t="str">
        <f>Messy_Data!D63</f>
        <v>Suresh</v>
      </c>
      <c r="C63" s="2" t="str">
        <f>Messy_Data!F63</f>
        <v>IT</v>
      </c>
      <c r="D63" s="3">
        <f>Messy_Data!H63</f>
        <v>44085</v>
      </c>
      <c r="E63" s="3">
        <f ca="1">Messy_Data!J63</f>
        <v>44827</v>
      </c>
      <c r="F63" s="2">
        <f>Messy_Data!L63</f>
        <v>9968883700</v>
      </c>
      <c r="G63" s="2" t="str">
        <f>Messy_Data!N63</f>
        <v>vikas@company.com</v>
      </c>
      <c r="H63" s="12">
        <f>Messy_Data!O63</f>
        <v>37606</v>
      </c>
      <c r="I63" s="2" t="str">
        <f>Messy_Data!P63</f>
        <v>20K-40K</v>
      </c>
      <c r="J63" s="2"/>
      <c r="K63" s="2"/>
      <c r="L63" s="2"/>
      <c r="M63" s="2"/>
      <c r="N63" s="2"/>
      <c r="O63" s="2" t="str">
        <f>Messy_Data!S63</f>
        <v>M17</v>
      </c>
      <c r="P63" s="2" t="str">
        <f>Messy_Data!U63</f>
        <v>ACTIVE</v>
      </c>
      <c r="Q63" s="2">
        <f ca="1">Messy_Data!V63</f>
        <v>742</v>
      </c>
      <c r="R63" s="2">
        <f ca="1">Messy_Data!W63</f>
        <v>24</v>
      </c>
      <c r="S63" s="2">
        <f ca="1">Messy_Data!X63</f>
        <v>2</v>
      </c>
      <c r="T63" s="2"/>
      <c r="U63" s="2"/>
      <c r="V63" s="2"/>
      <c r="W63" s="9"/>
      <c r="X63" s="2"/>
      <c r="Y63" s="12"/>
      <c r="Z63" s="12"/>
      <c r="AA63" s="2" t="str">
        <f ca="1">Messy_Data!AA63</f>
        <v>OK</v>
      </c>
    </row>
    <row r="64" spans="1:27" x14ac:dyDescent="0.3">
      <c r="A64" s="2" t="str">
        <f>Messy_Data!B64</f>
        <v>EMP63</v>
      </c>
      <c r="B64" s="2" t="str">
        <f>Messy_Data!D64</f>
        <v>Ankit</v>
      </c>
      <c r="C64" s="2" t="str">
        <f>Messy_Data!F64</f>
        <v>FINANCE</v>
      </c>
      <c r="D64" s="3">
        <f>Messy_Data!H64</f>
        <v>43502</v>
      </c>
      <c r="E64" s="3">
        <f ca="1">Messy_Data!J64</f>
        <v>46024</v>
      </c>
      <c r="F64" s="2">
        <f>Messy_Data!L64</f>
        <v>9767684374</v>
      </c>
      <c r="G64" s="2" t="str">
        <f>Messy_Data!N64</f>
        <v>rahul@company.com</v>
      </c>
      <c r="H64" s="12">
        <f>Messy_Data!O64</f>
        <v>54980</v>
      </c>
      <c r="I64" s="2" t="str">
        <f>Messy_Data!P64</f>
        <v>40K-60K</v>
      </c>
      <c r="J64" s="2"/>
      <c r="K64" s="2"/>
      <c r="L64" s="2"/>
      <c r="M64" s="2"/>
      <c r="N64" s="2"/>
      <c r="O64" s="2" t="str">
        <f>Messy_Data!S64</f>
        <v>M17</v>
      </c>
      <c r="P64" s="2" t="str">
        <f>Messy_Data!U64</f>
        <v>ACTIVE</v>
      </c>
      <c r="Q64" s="2">
        <f ca="1">Messy_Data!V64</f>
        <v>2522</v>
      </c>
      <c r="R64" s="2">
        <f ca="1">Messy_Data!W64</f>
        <v>82</v>
      </c>
      <c r="S64" s="2">
        <f ca="1">Messy_Data!X64</f>
        <v>6</v>
      </c>
      <c r="T64" s="2"/>
      <c r="U64" s="2"/>
      <c r="V64" s="2"/>
      <c r="W64" s="9"/>
      <c r="X64" s="2"/>
      <c r="Y64" s="12"/>
      <c r="Z64" s="12"/>
      <c r="AA64" s="2" t="str">
        <f ca="1">Messy_Data!AA64</f>
        <v>OK</v>
      </c>
    </row>
    <row r="65" spans="1:27" x14ac:dyDescent="0.3">
      <c r="A65" s="2" t="str">
        <f>Messy_Data!B65</f>
        <v>EMP64</v>
      </c>
      <c r="B65" s="2" t="str">
        <f>Messy_Data!D65</f>
        <v>Suresh</v>
      </c>
      <c r="C65" s="2" t="str">
        <f>Messy_Data!F65</f>
        <v>HR</v>
      </c>
      <c r="D65" s="3">
        <f>Messy_Data!H65</f>
        <v>43993</v>
      </c>
      <c r="E65" s="3">
        <f ca="1">Messy_Data!J65</f>
        <v>45260</v>
      </c>
      <c r="F65" s="2">
        <f>Messy_Data!L65</f>
        <v>9511322748</v>
      </c>
      <c r="G65" s="2" t="str">
        <f>Messy_Data!N65</f>
        <v>ankit@gmail.com</v>
      </c>
      <c r="H65" s="12">
        <f>Messy_Data!O65</f>
        <v>27548</v>
      </c>
      <c r="I65" s="2" t="str">
        <f>Messy_Data!P65</f>
        <v>20K-40K</v>
      </c>
      <c r="J65" s="2"/>
      <c r="K65" s="2"/>
      <c r="L65" s="2"/>
      <c r="M65" s="2"/>
      <c r="N65" s="2"/>
      <c r="O65" s="2" t="str">
        <f>Messy_Data!S65</f>
        <v>M5</v>
      </c>
      <c r="P65" s="2" t="str">
        <f>Messy_Data!U65</f>
        <v>ACTIVE</v>
      </c>
      <c r="Q65" s="2">
        <f ca="1">Messy_Data!V65</f>
        <v>1267</v>
      </c>
      <c r="R65" s="2">
        <f ca="1">Messy_Data!W65</f>
        <v>41</v>
      </c>
      <c r="S65" s="2">
        <f ca="1">Messy_Data!X65</f>
        <v>3</v>
      </c>
      <c r="T65" s="2"/>
      <c r="U65" s="2"/>
      <c r="V65" s="2"/>
      <c r="W65" s="9"/>
      <c r="X65" s="2"/>
      <c r="Y65" s="12"/>
      <c r="Z65" s="12"/>
      <c r="AA65" s="2" t="str">
        <f ca="1">Messy_Data!AA65</f>
        <v>OK</v>
      </c>
    </row>
    <row r="66" spans="1:27" x14ac:dyDescent="0.3">
      <c r="A66" s="2" t="str">
        <f>Messy_Data!B66</f>
        <v>EMP65</v>
      </c>
      <c r="B66" s="2" t="str">
        <f>Messy_Data!D66</f>
        <v>Neha</v>
      </c>
      <c r="C66" s="2" t="str">
        <f>Messy_Data!F66</f>
        <v>SALES</v>
      </c>
      <c r="D66" s="3">
        <f>Messy_Data!H66</f>
        <v>44264</v>
      </c>
      <c r="E66" s="3">
        <f ca="1">Messy_Data!J66</f>
        <v>44539</v>
      </c>
      <c r="F66" s="2">
        <f>Messy_Data!L66</f>
        <v>9638972924</v>
      </c>
      <c r="G66" s="2" t="str">
        <f>Messy_Data!N66</f>
        <v>kiran@company.com</v>
      </c>
      <c r="H66" s="12">
        <f>Messy_Data!O66</f>
        <v>89149</v>
      </c>
      <c r="I66" s="2" t="str">
        <f>Messy_Data!P66</f>
        <v>Above 80K</v>
      </c>
      <c r="J66" s="2"/>
      <c r="K66" s="2"/>
      <c r="L66" s="2"/>
      <c r="M66" s="2"/>
      <c r="N66" s="2"/>
      <c r="O66" s="2" t="str">
        <f>Messy_Data!S66</f>
        <v>M19</v>
      </c>
      <c r="P66" s="2" t="str">
        <f>Messy_Data!U66</f>
        <v>RESIGNED</v>
      </c>
      <c r="Q66" s="2">
        <f ca="1">Messy_Data!V66</f>
        <v>275</v>
      </c>
      <c r="R66" s="2">
        <f ca="1">Messy_Data!W66</f>
        <v>9</v>
      </c>
      <c r="S66" s="2">
        <f ca="1">Messy_Data!X66</f>
        <v>0</v>
      </c>
      <c r="T66" s="2"/>
      <c r="U66" s="2"/>
      <c r="V66" s="2"/>
      <c r="W66" s="9"/>
      <c r="X66" s="2"/>
      <c r="Y66" s="12"/>
      <c r="Z66" s="12"/>
      <c r="AA66" s="2" t="str">
        <f ca="1">Messy_Data!AA66</f>
        <v>CHECK</v>
      </c>
    </row>
    <row r="67" spans="1:27" x14ac:dyDescent="0.3">
      <c r="A67" s="2" t="str">
        <f>Messy_Data!B67</f>
        <v>EMP66</v>
      </c>
      <c r="B67" s="2" t="str">
        <f>Messy_Data!D67</f>
        <v>Ankit</v>
      </c>
      <c r="C67" s="2" t="str">
        <f>Messy_Data!F67</f>
        <v>SALES</v>
      </c>
      <c r="D67" s="3">
        <f>Messy_Data!H67</f>
        <v>44994</v>
      </c>
      <c r="E67" s="3">
        <f ca="1">Messy_Data!J67</f>
        <v>45254</v>
      </c>
      <c r="F67" s="2">
        <f>Messy_Data!L67</f>
        <v>9922755147</v>
      </c>
      <c r="G67" s="2" t="str">
        <f>Messy_Data!N67</f>
        <v>ankit@company.com</v>
      </c>
      <c r="H67" s="12">
        <f>Messy_Data!O67</f>
        <v>38305</v>
      </c>
      <c r="I67" s="2" t="str">
        <f>Messy_Data!P67</f>
        <v>20K-40K</v>
      </c>
      <c r="J67" s="2"/>
      <c r="K67" s="2"/>
      <c r="L67" s="2"/>
      <c r="M67" s="2"/>
      <c r="N67" s="2"/>
      <c r="O67" s="2" t="str">
        <f>Messy_Data!S67</f>
        <v>M24</v>
      </c>
      <c r="P67" s="2" t="str">
        <f>Messy_Data!U67</f>
        <v>RESIGNED</v>
      </c>
      <c r="Q67" s="2">
        <f ca="1">Messy_Data!V67</f>
        <v>260</v>
      </c>
      <c r="R67" s="2">
        <f ca="1">Messy_Data!W67</f>
        <v>8</v>
      </c>
      <c r="S67" s="2">
        <f ca="1">Messy_Data!X67</f>
        <v>0</v>
      </c>
      <c r="T67" s="2"/>
      <c r="U67" s="2"/>
      <c r="V67" s="2"/>
      <c r="W67" s="9"/>
      <c r="X67" s="2"/>
      <c r="Y67" s="12"/>
      <c r="Z67" s="12"/>
      <c r="AA67" s="2" t="str">
        <f ca="1">Messy_Data!AA67</f>
        <v>OK</v>
      </c>
    </row>
    <row r="68" spans="1:27" x14ac:dyDescent="0.3">
      <c r="A68" s="2" t="str">
        <f>Messy_Data!B68</f>
        <v>EMP67</v>
      </c>
      <c r="B68" s="2" t="str">
        <f>Messy_Data!D68</f>
        <v>Rahul</v>
      </c>
      <c r="C68" s="2" t="str">
        <f>Messy_Data!F68</f>
        <v>FINANCE</v>
      </c>
      <c r="D68" s="3">
        <f>Messy_Data!H68</f>
        <v>43829</v>
      </c>
      <c r="E68" s="3">
        <f ca="1">Messy_Data!J68</f>
        <v>44265</v>
      </c>
      <c r="F68" s="2">
        <f>Messy_Data!L68</f>
        <v>9966436606</v>
      </c>
      <c r="G68" s="2" t="str">
        <f>Messy_Data!N68</f>
        <v>vikas@company.com</v>
      </c>
      <c r="H68" s="12">
        <f>Messy_Data!O68</f>
        <v>63103</v>
      </c>
      <c r="I68" s="2" t="str">
        <f>Messy_Data!P68</f>
        <v>60K-80K</v>
      </c>
      <c r="J68" s="2"/>
      <c r="K68" s="2"/>
      <c r="L68" s="2"/>
      <c r="M68" s="2"/>
      <c r="N68" s="2"/>
      <c r="O68" s="2" t="str">
        <f>Messy_Data!S68</f>
        <v>M9</v>
      </c>
      <c r="P68" s="2" t="str">
        <f>Messy_Data!U68</f>
        <v>ACTIVE</v>
      </c>
      <c r="Q68" s="2">
        <f ca="1">Messy_Data!V68</f>
        <v>436</v>
      </c>
      <c r="R68" s="2">
        <f ca="1">Messy_Data!W68</f>
        <v>14</v>
      </c>
      <c r="S68" s="2">
        <f ca="1">Messy_Data!X68</f>
        <v>1</v>
      </c>
      <c r="T68" s="2"/>
      <c r="U68" s="2"/>
      <c r="V68" s="2"/>
      <c r="W68" s="9"/>
      <c r="X68" s="2"/>
      <c r="Y68" s="12"/>
      <c r="Z68" s="12"/>
      <c r="AA68" s="2" t="str">
        <f ca="1">Messy_Data!AA68</f>
        <v>OK</v>
      </c>
    </row>
    <row r="69" spans="1:27" x14ac:dyDescent="0.3">
      <c r="A69" s="2" t="str">
        <f>Messy_Data!B69</f>
        <v>EMP68</v>
      </c>
      <c r="B69" s="2" t="str">
        <f>Messy_Data!D69</f>
        <v>Kiran</v>
      </c>
      <c r="C69" s="2" t="str">
        <f>Messy_Data!F69</f>
        <v>SALES</v>
      </c>
      <c r="D69" s="3">
        <f>Messy_Data!H69</f>
        <v>43614</v>
      </c>
      <c r="E69" s="3">
        <f ca="1">Messy_Data!J69</f>
        <v>43906</v>
      </c>
      <c r="F69" s="2">
        <f>Messy_Data!L69</f>
        <v>9366768887</v>
      </c>
      <c r="G69" s="2" t="str">
        <f>Messy_Data!N69</f>
        <v>rahul@company.com</v>
      </c>
      <c r="H69" s="12">
        <f>Messy_Data!O69</f>
        <v>57042</v>
      </c>
      <c r="I69" s="2" t="str">
        <f>Messy_Data!P69</f>
        <v>40K-60K</v>
      </c>
      <c r="J69" s="2"/>
      <c r="K69" s="2"/>
      <c r="L69" s="2"/>
      <c r="M69" s="2"/>
      <c r="N69" s="2"/>
      <c r="O69" s="2" t="str">
        <f>Messy_Data!S69</f>
        <v>M10</v>
      </c>
      <c r="P69" s="2" t="str">
        <f>Messy_Data!U69</f>
        <v>RESIGNED</v>
      </c>
      <c r="Q69" s="2">
        <f ca="1">Messy_Data!V69</f>
        <v>292</v>
      </c>
      <c r="R69" s="2">
        <f ca="1">Messy_Data!W69</f>
        <v>9</v>
      </c>
      <c r="S69" s="2">
        <f ca="1">Messy_Data!X69</f>
        <v>0</v>
      </c>
      <c r="T69" s="2"/>
      <c r="U69" s="2"/>
      <c r="V69" s="2"/>
      <c r="W69" s="9"/>
      <c r="X69" s="2"/>
      <c r="Y69" s="12"/>
      <c r="Z69" s="12"/>
      <c r="AA69" s="2" t="str">
        <f ca="1">Messy_Data!AA69</f>
        <v>OK</v>
      </c>
    </row>
    <row r="70" spans="1:27" x14ac:dyDescent="0.3">
      <c r="A70" s="2" t="str">
        <f>Messy_Data!B70</f>
        <v>EMP69</v>
      </c>
      <c r="B70" s="2" t="str">
        <f>Messy_Data!D70</f>
        <v>Rahul</v>
      </c>
      <c r="C70" s="2" t="str">
        <f>Messy_Data!F70</f>
        <v>IT</v>
      </c>
      <c r="D70" s="3">
        <f>Messy_Data!H70</f>
        <v>43778</v>
      </c>
      <c r="E70" s="3">
        <f ca="1">Messy_Data!J70</f>
        <v>44061</v>
      </c>
      <c r="F70" s="2">
        <f>Messy_Data!L70</f>
        <v>9368193561</v>
      </c>
      <c r="G70" s="2" t="str">
        <f>Messy_Data!N70</f>
        <v>amit@company.com</v>
      </c>
      <c r="H70" s="12">
        <f>Messy_Data!O70</f>
        <v>38784</v>
      </c>
      <c r="I70" s="2" t="str">
        <f>Messy_Data!P70</f>
        <v>20K-40K</v>
      </c>
      <c r="J70" s="2"/>
      <c r="K70" s="2"/>
      <c r="L70" s="2"/>
      <c r="M70" s="2"/>
      <c r="N70" s="2"/>
      <c r="O70" s="2" t="str">
        <f>Messy_Data!S70</f>
        <v>M5</v>
      </c>
      <c r="P70" s="2" t="str">
        <f>Messy_Data!U70</f>
        <v>ACTIVE</v>
      </c>
      <c r="Q70" s="2">
        <f ca="1">Messy_Data!V70</f>
        <v>283</v>
      </c>
      <c r="R70" s="2">
        <f ca="1">Messy_Data!W70</f>
        <v>9</v>
      </c>
      <c r="S70" s="2">
        <f ca="1">Messy_Data!X70</f>
        <v>0</v>
      </c>
      <c r="T70" s="2"/>
      <c r="U70" s="2"/>
      <c r="V70" s="2"/>
      <c r="W70" s="9"/>
      <c r="X70" s="2"/>
      <c r="Y70" s="12"/>
      <c r="Z70" s="12"/>
      <c r="AA70" s="2" t="str">
        <f ca="1">Messy_Data!AA70</f>
        <v>OK</v>
      </c>
    </row>
    <row r="71" spans="1:27" x14ac:dyDescent="0.3">
      <c r="A71" s="2" t="str">
        <f>Messy_Data!B71</f>
        <v>EMP70</v>
      </c>
      <c r="B71" s="2" t="str">
        <f>Messy_Data!D71</f>
        <v>Vikas</v>
      </c>
      <c r="C71" s="2" t="str">
        <f>Messy_Data!F71</f>
        <v>HR</v>
      </c>
      <c r="D71" s="3">
        <f>Messy_Data!H71</f>
        <v>43688</v>
      </c>
      <c r="E71" s="3">
        <f ca="1">Messy_Data!J71</f>
        <v>46024</v>
      </c>
      <c r="F71" s="2">
        <f>Messy_Data!L71</f>
        <v>9408037253</v>
      </c>
      <c r="G71" s="2" t="str">
        <f>Messy_Data!N71</f>
        <v>vikas@company.com</v>
      </c>
      <c r="H71" s="12">
        <f>Messy_Data!O71</f>
        <v>77477</v>
      </c>
      <c r="I71" s="2" t="str">
        <f>Messy_Data!P71</f>
        <v>60K-80K</v>
      </c>
      <c r="J71" s="2"/>
      <c r="K71" s="2"/>
      <c r="L71" s="2"/>
      <c r="M71" s="2"/>
      <c r="N71" s="2"/>
      <c r="O71" s="2" t="str">
        <f>Messy_Data!S71</f>
        <v>M3</v>
      </c>
      <c r="P71" s="2" t="str">
        <f>Messy_Data!U71</f>
        <v>ON HOLD</v>
      </c>
      <c r="Q71" s="2">
        <f ca="1">Messy_Data!V71</f>
        <v>2336</v>
      </c>
      <c r="R71" s="2">
        <f ca="1">Messy_Data!W71</f>
        <v>76</v>
      </c>
      <c r="S71" s="2">
        <f ca="1">Messy_Data!X71</f>
        <v>6</v>
      </c>
      <c r="T71" s="2"/>
      <c r="U71" s="2"/>
      <c r="V71" s="2"/>
      <c r="W71" s="9"/>
      <c r="X71" s="2"/>
      <c r="Y71" s="12"/>
      <c r="Z71" s="12"/>
      <c r="AA71" s="2" t="str">
        <f ca="1">Messy_Data!AA71</f>
        <v>OK</v>
      </c>
    </row>
    <row r="72" spans="1:27" x14ac:dyDescent="0.3">
      <c r="A72" s="2" t="str">
        <f>Messy_Data!B72</f>
        <v>EMP71</v>
      </c>
      <c r="B72" s="2" t="str">
        <f>Messy_Data!D72</f>
        <v>Rahul</v>
      </c>
      <c r="C72" s="2" t="str">
        <f>Messy_Data!F72</f>
        <v>IT</v>
      </c>
      <c r="D72" s="3">
        <f>Messy_Data!H72</f>
        <v>43975</v>
      </c>
      <c r="E72" s="3">
        <f ca="1">Messy_Data!J72</f>
        <v>44510</v>
      </c>
      <c r="F72" s="2">
        <f>Messy_Data!L72</f>
        <v>9484698271</v>
      </c>
      <c r="G72" s="2" t="str">
        <f>Messy_Data!N72</f>
        <v>amit@company.com</v>
      </c>
      <c r="H72" s="12">
        <f>Messy_Data!O72</f>
        <v>23228</v>
      </c>
      <c r="I72" s="2" t="str">
        <f>Messy_Data!P72</f>
        <v>20K-40K</v>
      </c>
      <c r="J72" s="2"/>
      <c r="K72" s="2"/>
      <c r="L72" s="2"/>
      <c r="M72" s="2"/>
      <c r="N72" s="2"/>
      <c r="O72" s="2" t="str">
        <f>Messy_Data!S72</f>
        <v>M15</v>
      </c>
      <c r="P72" s="2" t="str">
        <f>Messy_Data!U72</f>
        <v>ON HOLD</v>
      </c>
      <c r="Q72" s="2">
        <f ca="1">Messy_Data!V72</f>
        <v>535</v>
      </c>
      <c r="R72" s="2">
        <f ca="1">Messy_Data!W72</f>
        <v>17</v>
      </c>
      <c r="S72" s="2">
        <f ca="1">Messy_Data!X72</f>
        <v>1</v>
      </c>
      <c r="T72" s="2"/>
      <c r="U72" s="2"/>
      <c r="V72" s="2"/>
      <c r="W72" s="9"/>
      <c r="X72" s="2"/>
      <c r="Y72" s="12"/>
      <c r="Z72" s="12"/>
      <c r="AA72" s="2" t="str">
        <f ca="1">Messy_Data!AA72</f>
        <v>OK</v>
      </c>
    </row>
    <row r="73" spans="1:27" x14ac:dyDescent="0.3">
      <c r="A73" s="2" t="str">
        <f>Messy_Data!B73</f>
        <v>EMP72</v>
      </c>
      <c r="B73" s="2" t="str">
        <f>Messy_Data!D73</f>
        <v>Neha</v>
      </c>
      <c r="C73" s="2" t="str">
        <f>Messy_Data!F73</f>
        <v>FINANCE</v>
      </c>
      <c r="D73" s="3">
        <f>Messy_Data!H73</f>
        <v>44235</v>
      </c>
      <c r="E73" s="3">
        <f ca="1">Messy_Data!J73</f>
        <v>44878</v>
      </c>
      <c r="F73" s="2">
        <f>Messy_Data!L73</f>
        <v>9754833914</v>
      </c>
      <c r="G73" s="2" t="str">
        <f>Messy_Data!N73</f>
        <v>ravi@gmail.com</v>
      </c>
      <c r="H73" s="12">
        <f>Messy_Data!O73</f>
        <v>35433</v>
      </c>
      <c r="I73" s="2" t="str">
        <f>Messy_Data!P73</f>
        <v>20K-40K</v>
      </c>
      <c r="J73" s="2"/>
      <c r="K73" s="2"/>
      <c r="L73" s="2"/>
      <c r="M73" s="2"/>
      <c r="N73" s="2"/>
      <c r="O73" s="2" t="str">
        <f>Messy_Data!S73</f>
        <v>M9</v>
      </c>
      <c r="P73" s="2" t="str">
        <f>Messy_Data!U73</f>
        <v>ON HOLD</v>
      </c>
      <c r="Q73" s="2">
        <f ca="1">Messy_Data!V73</f>
        <v>643</v>
      </c>
      <c r="R73" s="2">
        <f ca="1">Messy_Data!W73</f>
        <v>21</v>
      </c>
      <c r="S73" s="2">
        <f ca="1">Messy_Data!X73</f>
        <v>1</v>
      </c>
      <c r="T73" s="2"/>
      <c r="U73" s="2"/>
      <c r="V73" s="2"/>
      <c r="W73" s="9"/>
      <c r="X73" s="2"/>
      <c r="Y73" s="12"/>
      <c r="Z73" s="12"/>
      <c r="AA73" s="2" t="str">
        <f ca="1">Messy_Data!AA73</f>
        <v>OK</v>
      </c>
    </row>
    <row r="74" spans="1:27" x14ac:dyDescent="0.3">
      <c r="A74" s="2" t="str">
        <f>Messy_Data!B74</f>
        <v>EMP73</v>
      </c>
      <c r="B74" s="2" t="str">
        <f>Messy_Data!D74</f>
        <v>Rahul</v>
      </c>
      <c r="C74" s="2" t="str">
        <f>Messy_Data!F74</f>
        <v>FINANCE</v>
      </c>
      <c r="D74" s="3">
        <f>Messy_Data!H74</f>
        <v>44724</v>
      </c>
      <c r="E74" s="3">
        <f ca="1">Messy_Data!J74</f>
        <v>46013</v>
      </c>
      <c r="F74" s="2">
        <f>Messy_Data!L74</f>
        <v>9293334445</v>
      </c>
      <c r="G74" s="2" t="str">
        <f>Messy_Data!N74</f>
        <v>pooja@company.com</v>
      </c>
      <c r="H74" s="12">
        <f>Messy_Data!O74</f>
        <v>64573</v>
      </c>
      <c r="I74" s="2" t="str">
        <f>Messy_Data!P74</f>
        <v>60K-80K</v>
      </c>
      <c r="J74" s="2"/>
      <c r="K74" s="2"/>
      <c r="L74" s="2"/>
      <c r="M74" s="2"/>
      <c r="N74" s="2"/>
      <c r="O74" s="2" t="str">
        <f>Messy_Data!S74</f>
        <v>M7</v>
      </c>
      <c r="P74" s="2" t="str">
        <f>Messy_Data!U74</f>
        <v>ON HOLD</v>
      </c>
      <c r="Q74" s="2">
        <f ca="1">Messy_Data!V74</f>
        <v>1289</v>
      </c>
      <c r="R74" s="2">
        <f ca="1">Messy_Data!W74</f>
        <v>42</v>
      </c>
      <c r="S74" s="2">
        <f ca="1">Messy_Data!X74</f>
        <v>3</v>
      </c>
      <c r="T74" s="2"/>
      <c r="U74" s="2"/>
      <c r="V74" s="2"/>
      <c r="W74" s="9"/>
      <c r="X74" s="2"/>
      <c r="Y74" s="12"/>
      <c r="Z74" s="12"/>
      <c r="AA74" s="2" t="str">
        <f ca="1">Messy_Data!AA74</f>
        <v>OK</v>
      </c>
    </row>
    <row r="75" spans="1:27" x14ac:dyDescent="0.3">
      <c r="A75" s="2" t="str">
        <f>Messy_Data!B75</f>
        <v>EMP74</v>
      </c>
      <c r="B75" s="2" t="str">
        <f>Messy_Data!D75</f>
        <v>Suresh</v>
      </c>
      <c r="C75" s="2" t="str">
        <f>Messy_Data!F75</f>
        <v>FINANCE</v>
      </c>
      <c r="D75" s="3">
        <f>Messy_Data!H75</f>
        <v>44636</v>
      </c>
      <c r="E75" s="3">
        <f ca="1">Messy_Data!J75</f>
        <v>44840</v>
      </c>
      <c r="F75" s="2">
        <f>Messy_Data!L75</f>
        <v>9862042848</v>
      </c>
      <c r="G75" s="2" t="str">
        <f>Messy_Data!N75</f>
        <v>neha@company.com</v>
      </c>
      <c r="H75" s="12">
        <f>Messy_Data!O75</f>
        <v>72994</v>
      </c>
      <c r="I75" s="2" t="str">
        <f>Messy_Data!P75</f>
        <v>60K-80K</v>
      </c>
      <c r="J75" s="2"/>
      <c r="K75" s="2"/>
      <c r="L75" s="2"/>
      <c r="M75" s="2"/>
      <c r="N75" s="2"/>
      <c r="O75" s="2" t="str">
        <f>Messy_Data!S75</f>
        <v>M23</v>
      </c>
      <c r="P75" s="2" t="str">
        <f>Messy_Data!U75</f>
        <v>ON HOLD</v>
      </c>
      <c r="Q75" s="2">
        <f ca="1">Messy_Data!V75</f>
        <v>204</v>
      </c>
      <c r="R75" s="2">
        <f ca="1">Messy_Data!W75</f>
        <v>6</v>
      </c>
      <c r="S75" s="2">
        <f ca="1">Messy_Data!X75</f>
        <v>0</v>
      </c>
      <c r="T75" s="2"/>
      <c r="U75" s="2"/>
      <c r="V75" s="2"/>
      <c r="W75" s="9"/>
      <c r="X75" s="2"/>
      <c r="Y75" s="12"/>
      <c r="Z75" s="12"/>
      <c r="AA75" s="2" t="str">
        <f ca="1">Messy_Data!AA75</f>
        <v>OK</v>
      </c>
    </row>
    <row r="76" spans="1:27" x14ac:dyDescent="0.3">
      <c r="A76" s="2" t="str">
        <f>Messy_Data!B76</f>
        <v>EMP75</v>
      </c>
      <c r="B76" s="2" t="str">
        <f>Messy_Data!D76</f>
        <v>Amit</v>
      </c>
      <c r="C76" s="2" t="str">
        <f>Messy_Data!F76</f>
        <v>FINANCE</v>
      </c>
      <c r="D76" s="3">
        <f>Messy_Data!H76</f>
        <v>43709</v>
      </c>
      <c r="E76" s="3">
        <f ca="1">Messy_Data!J76</f>
        <v>44954</v>
      </c>
      <c r="F76" s="2">
        <f>Messy_Data!L76</f>
        <v>9454509940</v>
      </c>
      <c r="G76" s="2" t="str">
        <f>Messy_Data!N76</f>
        <v>pooja@company.com</v>
      </c>
      <c r="H76" s="12">
        <f>Messy_Data!O76</f>
        <v>19989</v>
      </c>
      <c r="I76" s="2" t="str">
        <f>Messy_Data!P76</f>
        <v>Below 20K</v>
      </c>
      <c r="J76" s="2"/>
      <c r="K76" s="2"/>
      <c r="L76" s="2"/>
      <c r="M76" s="2"/>
      <c r="N76" s="2"/>
      <c r="O76" s="2" t="str">
        <f>Messy_Data!S76</f>
        <v>M4</v>
      </c>
      <c r="P76" s="2" t="str">
        <f>Messy_Data!U76</f>
        <v>ON HOLD</v>
      </c>
      <c r="Q76" s="2">
        <f ca="1">Messy_Data!V76</f>
        <v>1245</v>
      </c>
      <c r="R76" s="2">
        <f ca="1">Messy_Data!W76</f>
        <v>40</v>
      </c>
      <c r="S76" s="2">
        <f ca="1">Messy_Data!X76</f>
        <v>3</v>
      </c>
      <c r="T76" s="2"/>
      <c r="U76" s="2"/>
      <c r="V76" s="2"/>
      <c r="W76" s="9"/>
      <c r="X76" s="2"/>
      <c r="Y76" s="12"/>
      <c r="Z76" s="12"/>
      <c r="AA76" s="2" t="str">
        <f ca="1">Messy_Data!AA76</f>
        <v>OK</v>
      </c>
    </row>
    <row r="77" spans="1:27" x14ac:dyDescent="0.3">
      <c r="A77" s="2" t="str">
        <f>Messy_Data!B77</f>
        <v>EMP76</v>
      </c>
      <c r="B77" s="2" t="str">
        <f>Messy_Data!D77</f>
        <v>Rahul</v>
      </c>
      <c r="C77" s="2" t="str">
        <f>Messy_Data!F77</f>
        <v>FINANCE</v>
      </c>
      <c r="D77" s="3">
        <f>Messy_Data!H77</f>
        <v>45065</v>
      </c>
      <c r="E77" s="3">
        <f ca="1">Messy_Data!J77</f>
        <v>46432</v>
      </c>
      <c r="F77" s="2">
        <f>Messy_Data!L77</f>
        <v>9766738410</v>
      </c>
      <c r="G77" s="2" t="str">
        <f>Messy_Data!N77</f>
        <v>vikas@company.com</v>
      </c>
      <c r="H77" s="12">
        <f>Messy_Data!O77</f>
        <v>59260</v>
      </c>
      <c r="I77" s="2" t="str">
        <f>Messy_Data!P77</f>
        <v>40K-60K</v>
      </c>
      <c r="J77" s="2"/>
      <c r="K77" s="2"/>
      <c r="L77" s="2"/>
      <c r="M77" s="2"/>
      <c r="N77" s="2"/>
      <c r="O77" s="2" t="str">
        <f>Messy_Data!S77</f>
        <v>M14</v>
      </c>
      <c r="P77" s="2" t="str">
        <f>Messy_Data!U77</f>
        <v>ON HOLD</v>
      </c>
      <c r="Q77" s="2">
        <f ca="1">Messy_Data!V77</f>
        <v>1367</v>
      </c>
      <c r="R77" s="2">
        <f ca="1">Messy_Data!W77</f>
        <v>44</v>
      </c>
      <c r="S77" s="2">
        <f ca="1">Messy_Data!X77</f>
        <v>3</v>
      </c>
      <c r="T77" s="2"/>
      <c r="U77" s="2"/>
      <c r="V77" s="2"/>
      <c r="W77" s="9"/>
      <c r="X77" s="2"/>
      <c r="Y77" s="12"/>
      <c r="Z77" s="12"/>
      <c r="AA77" s="2" t="str">
        <f ca="1">Messy_Data!AA77</f>
        <v>OK</v>
      </c>
    </row>
    <row r="78" spans="1:27" x14ac:dyDescent="0.3">
      <c r="A78" s="2" t="str">
        <f>Messy_Data!B78</f>
        <v>EMP77</v>
      </c>
      <c r="B78" s="2" t="str">
        <f>Messy_Data!D78</f>
        <v>Sunita</v>
      </c>
      <c r="C78" s="2" t="str">
        <f>Messy_Data!F78</f>
        <v>FINANCE</v>
      </c>
      <c r="D78" s="3">
        <f>Messy_Data!H78</f>
        <v>43952</v>
      </c>
      <c r="E78" s="3">
        <f ca="1">Messy_Data!J78</f>
        <v>46024</v>
      </c>
      <c r="F78" s="2">
        <f>Messy_Data!L78</f>
        <v>9561559536</v>
      </c>
      <c r="G78" s="2" t="str">
        <f>Messy_Data!N78</f>
        <v>suresh@company.com</v>
      </c>
      <c r="H78" s="12">
        <f>Messy_Data!O78</f>
        <v>64403</v>
      </c>
      <c r="I78" s="2" t="str">
        <f>Messy_Data!P78</f>
        <v>60K-80K</v>
      </c>
      <c r="J78" s="2"/>
      <c r="K78" s="2"/>
      <c r="L78" s="2"/>
      <c r="M78" s="2"/>
      <c r="N78" s="2"/>
      <c r="O78" s="2" t="str">
        <f>Messy_Data!S78</f>
        <v>M13</v>
      </c>
      <c r="P78" s="2" t="str">
        <f>Messy_Data!U78</f>
        <v>RESIGNED</v>
      </c>
      <c r="Q78" s="2">
        <f ca="1">Messy_Data!V78</f>
        <v>2072</v>
      </c>
      <c r="R78" s="2">
        <f ca="1">Messy_Data!W78</f>
        <v>68</v>
      </c>
      <c r="S78" s="2">
        <f ca="1">Messy_Data!X78</f>
        <v>5</v>
      </c>
      <c r="T78" s="2"/>
      <c r="U78" s="2"/>
      <c r="V78" s="2"/>
      <c r="W78" s="9"/>
      <c r="X78" s="2"/>
      <c r="Y78" s="12"/>
      <c r="Z78" s="12"/>
      <c r="AA78" s="2" t="str">
        <f ca="1">Messy_Data!AA78</f>
        <v>OK</v>
      </c>
    </row>
    <row r="79" spans="1:27" x14ac:dyDescent="0.3">
      <c r="A79" s="2" t="str">
        <f>Messy_Data!B79</f>
        <v>EMP78</v>
      </c>
      <c r="B79" s="2" t="str">
        <f>Messy_Data!D79</f>
        <v>Pooja</v>
      </c>
      <c r="C79" s="2" t="str">
        <f>Messy_Data!F79</f>
        <v>SALES</v>
      </c>
      <c r="D79" s="3">
        <f>Messy_Data!H79</f>
        <v>44836</v>
      </c>
      <c r="E79" s="3">
        <f ca="1">Messy_Data!J79</f>
        <v>46008</v>
      </c>
      <c r="F79" s="2">
        <f>Messy_Data!L79</f>
        <v>9806937171</v>
      </c>
      <c r="G79" s="2" t="str">
        <f>Messy_Data!N79</f>
        <v>kiran@company.com</v>
      </c>
      <c r="H79" s="12">
        <f>Messy_Data!O79</f>
        <v>72733</v>
      </c>
      <c r="I79" s="2" t="str">
        <f>Messy_Data!P79</f>
        <v>60K-80K</v>
      </c>
      <c r="J79" s="2"/>
      <c r="K79" s="2"/>
      <c r="L79" s="2"/>
      <c r="M79" s="2"/>
      <c r="N79" s="2"/>
      <c r="O79" s="2" t="str">
        <f>Messy_Data!S79</f>
        <v>M12</v>
      </c>
      <c r="P79" s="2" t="str">
        <f>Messy_Data!U79</f>
        <v>RESIGNED</v>
      </c>
      <c r="Q79" s="2">
        <f ca="1">Messy_Data!V79</f>
        <v>1172</v>
      </c>
      <c r="R79" s="2">
        <f ca="1">Messy_Data!W79</f>
        <v>38</v>
      </c>
      <c r="S79" s="2">
        <f ca="1">Messy_Data!X79</f>
        <v>3</v>
      </c>
      <c r="T79" s="2"/>
      <c r="U79" s="2"/>
      <c r="V79" s="2"/>
      <c r="W79" s="9"/>
      <c r="X79" s="2"/>
      <c r="Y79" s="12"/>
      <c r="Z79" s="12"/>
      <c r="AA79" s="2" t="str">
        <f ca="1">Messy_Data!AA79</f>
        <v>OK</v>
      </c>
    </row>
    <row r="80" spans="1:27" x14ac:dyDescent="0.3">
      <c r="A80" s="2" t="str">
        <f>Messy_Data!B80</f>
        <v>EMP79</v>
      </c>
      <c r="B80" s="2" t="str">
        <f>Messy_Data!D80</f>
        <v>Vikas</v>
      </c>
      <c r="C80" s="2" t="str">
        <f>Messy_Data!F80</f>
        <v>SALES</v>
      </c>
      <c r="D80" s="3">
        <f>Messy_Data!H80</f>
        <v>43918</v>
      </c>
      <c r="E80" s="3">
        <f ca="1">Messy_Data!J80</f>
        <v>45074</v>
      </c>
      <c r="F80" s="2">
        <f>Messy_Data!L80</f>
        <v>9270457353</v>
      </c>
      <c r="G80" s="2" t="str">
        <f>Messy_Data!N80</f>
        <v>sunita@company.com</v>
      </c>
      <c r="H80" s="12">
        <f>Messy_Data!O80</f>
        <v>29983</v>
      </c>
      <c r="I80" s="2" t="str">
        <f>Messy_Data!P80</f>
        <v>20K-40K</v>
      </c>
      <c r="J80" s="2"/>
      <c r="K80" s="2"/>
      <c r="L80" s="2"/>
      <c r="M80" s="2"/>
      <c r="N80" s="2"/>
      <c r="O80" s="2" t="str">
        <f>Messy_Data!S80</f>
        <v>M17</v>
      </c>
      <c r="P80" s="2" t="str">
        <f>Messy_Data!U80</f>
        <v>RESIGNED</v>
      </c>
      <c r="Q80" s="2">
        <f ca="1">Messy_Data!V80</f>
        <v>1156</v>
      </c>
      <c r="R80" s="2">
        <f ca="1">Messy_Data!W80</f>
        <v>38</v>
      </c>
      <c r="S80" s="2">
        <f ca="1">Messy_Data!X80</f>
        <v>3</v>
      </c>
      <c r="T80" s="2"/>
      <c r="U80" s="2"/>
      <c r="V80" s="2"/>
      <c r="W80" s="9"/>
      <c r="X80" s="2"/>
      <c r="Y80" s="12"/>
      <c r="Z80" s="12"/>
      <c r="AA80" s="2" t="str">
        <f ca="1">Messy_Data!AA80</f>
        <v>OK</v>
      </c>
    </row>
    <row r="81" spans="1:27" x14ac:dyDescent="0.3">
      <c r="A81" s="2" t="str">
        <f>Messy_Data!B81</f>
        <v>EMP80</v>
      </c>
      <c r="B81" s="2" t="str">
        <f>Messy_Data!D81</f>
        <v>Vikas</v>
      </c>
      <c r="C81" s="2" t="str">
        <f>Messy_Data!F81</f>
        <v>IT</v>
      </c>
      <c r="D81" s="3">
        <f>Messy_Data!H81</f>
        <v>43574</v>
      </c>
      <c r="E81" s="3">
        <f ca="1">Messy_Data!J81</f>
        <v>43830</v>
      </c>
      <c r="F81" s="2">
        <f>Messy_Data!L81</f>
        <v>9789838250</v>
      </c>
      <c r="G81" s="2" t="str">
        <f>Messy_Data!N81</f>
        <v>suresh@gmail.com</v>
      </c>
      <c r="H81" s="12">
        <f>Messy_Data!O81</f>
        <v>81849</v>
      </c>
      <c r="I81" s="2" t="str">
        <f>Messy_Data!P81</f>
        <v>Above 80K</v>
      </c>
      <c r="J81" s="2"/>
      <c r="K81" s="2"/>
      <c r="L81" s="2"/>
      <c r="M81" s="2"/>
      <c r="N81" s="2"/>
      <c r="O81" s="2" t="str">
        <f>Messy_Data!S81</f>
        <v>M6</v>
      </c>
      <c r="P81" s="2" t="str">
        <f>Messy_Data!U81</f>
        <v>ACTIVE</v>
      </c>
      <c r="Q81" s="2">
        <f ca="1">Messy_Data!V81</f>
        <v>256</v>
      </c>
      <c r="R81" s="2">
        <f ca="1">Messy_Data!W81</f>
        <v>8</v>
      </c>
      <c r="S81" s="2">
        <f ca="1">Messy_Data!X81</f>
        <v>0</v>
      </c>
      <c r="T81" s="2"/>
      <c r="U81" s="2"/>
      <c r="V81" s="2"/>
      <c r="W81" s="9"/>
      <c r="X81" s="2"/>
      <c r="Y81" s="12"/>
      <c r="Z81" s="12"/>
      <c r="AA81" s="2" t="str">
        <f ca="1">Messy_Data!AA81</f>
        <v>CHECK</v>
      </c>
    </row>
    <row r="82" spans="1:27" x14ac:dyDescent="0.3">
      <c r="A82" s="2" t="str">
        <f>Messy_Data!B82</f>
        <v>EMP81</v>
      </c>
      <c r="B82" s="2" t="str">
        <f>Messy_Data!D82</f>
        <v>Neha</v>
      </c>
      <c r="C82" s="2" t="str">
        <f>Messy_Data!F82</f>
        <v>SALES</v>
      </c>
      <c r="D82" s="3">
        <f>Messy_Data!H82</f>
        <v>44102</v>
      </c>
      <c r="E82" s="3">
        <f ca="1">Messy_Data!J82</f>
        <v>45395</v>
      </c>
      <c r="F82" s="2">
        <f>Messy_Data!L82</f>
        <v>9397764802</v>
      </c>
      <c r="G82" s="2" t="str">
        <f>Messy_Data!N82</f>
        <v>vikas@company.com</v>
      </c>
      <c r="H82" s="12">
        <f>Messy_Data!O82</f>
        <v>47935</v>
      </c>
      <c r="I82" s="2" t="str">
        <f>Messy_Data!P82</f>
        <v>40K-60K</v>
      </c>
      <c r="J82" s="2"/>
      <c r="K82" s="2"/>
      <c r="L82" s="2"/>
      <c r="M82" s="2"/>
      <c r="N82" s="2"/>
      <c r="O82" s="2" t="str">
        <f>Messy_Data!S82</f>
        <v>M20</v>
      </c>
      <c r="P82" s="2" t="str">
        <f>Messy_Data!U82</f>
        <v>RESIGNED</v>
      </c>
      <c r="Q82" s="2">
        <f ca="1">Messy_Data!V82</f>
        <v>1293</v>
      </c>
      <c r="R82" s="2">
        <f ca="1">Messy_Data!W82</f>
        <v>42</v>
      </c>
      <c r="S82" s="2">
        <f ca="1">Messy_Data!X82</f>
        <v>3</v>
      </c>
      <c r="T82" s="2"/>
      <c r="U82" s="2"/>
      <c r="V82" s="2"/>
      <c r="W82" s="9"/>
      <c r="X82" s="2"/>
      <c r="Y82" s="12"/>
      <c r="Z82" s="12"/>
      <c r="AA82" s="2" t="str">
        <f ca="1">Messy_Data!AA82</f>
        <v>OK</v>
      </c>
    </row>
    <row r="83" spans="1:27" x14ac:dyDescent="0.3">
      <c r="A83" s="2" t="str">
        <f>Messy_Data!B83</f>
        <v>EMP82</v>
      </c>
      <c r="B83" s="2" t="str">
        <f>Messy_Data!D83</f>
        <v>Kiran</v>
      </c>
      <c r="C83" s="2" t="str">
        <f>Messy_Data!F83</f>
        <v>FINANCE</v>
      </c>
      <c r="D83" s="3">
        <f>Messy_Data!H83</f>
        <v>44167</v>
      </c>
      <c r="E83" s="3">
        <f ca="1">Messy_Data!J83</f>
        <v>44250</v>
      </c>
      <c r="F83" s="2">
        <f>Messy_Data!L83</f>
        <v>9751647835</v>
      </c>
      <c r="G83" s="2" t="str">
        <f>Messy_Data!N83</f>
        <v>pooja@company.com</v>
      </c>
      <c r="H83" s="12">
        <f>Messy_Data!O83</f>
        <v>75178</v>
      </c>
      <c r="I83" s="2" t="str">
        <f>Messy_Data!P83</f>
        <v>60K-80K</v>
      </c>
      <c r="J83" s="2"/>
      <c r="K83" s="2"/>
      <c r="L83" s="2"/>
      <c r="M83" s="2"/>
      <c r="N83" s="2"/>
      <c r="O83" s="2" t="str">
        <f>Messy_Data!S83</f>
        <v>M6</v>
      </c>
      <c r="P83" s="2" t="str">
        <f>Messy_Data!U83</f>
        <v>RESIGNED</v>
      </c>
      <c r="Q83" s="2">
        <f ca="1">Messy_Data!V83</f>
        <v>83</v>
      </c>
      <c r="R83" s="2">
        <f ca="1">Messy_Data!W83</f>
        <v>2</v>
      </c>
      <c r="S83" s="2">
        <f ca="1">Messy_Data!X83</f>
        <v>0</v>
      </c>
      <c r="T83" s="2"/>
      <c r="U83" s="2"/>
      <c r="V83" s="2"/>
      <c r="W83" s="9"/>
      <c r="X83" s="2"/>
      <c r="Y83" s="12"/>
      <c r="Z83" s="12"/>
      <c r="AA83" s="2" t="str">
        <f ca="1">Messy_Data!AA83</f>
        <v>OK</v>
      </c>
    </row>
    <row r="84" spans="1:27" x14ac:dyDescent="0.3">
      <c r="A84" s="2" t="str">
        <f>Messy_Data!B84</f>
        <v>EMP83</v>
      </c>
      <c r="B84" s="2" t="str">
        <f>Messy_Data!D84</f>
        <v>Pooja</v>
      </c>
      <c r="C84" s="2" t="str">
        <f>Messy_Data!F84</f>
        <v>SALES</v>
      </c>
      <c r="D84" s="3">
        <f>Messy_Data!H84</f>
        <v>44402</v>
      </c>
      <c r="E84" s="3">
        <f ca="1">Messy_Data!J84</f>
        <v>45183</v>
      </c>
      <c r="F84" s="2">
        <f>Messy_Data!L84</f>
        <v>9147068857</v>
      </c>
      <c r="G84" s="2" t="str">
        <f>Messy_Data!N84</f>
        <v>neha@company.com</v>
      </c>
      <c r="H84" s="12">
        <f>Messy_Data!O84</f>
        <v>15609</v>
      </c>
      <c r="I84" s="2" t="str">
        <f>Messy_Data!P84</f>
        <v>Below 20K</v>
      </c>
      <c r="J84" s="2"/>
      <c r="K84" s="2"/>
      <c r="L84" s="2"/>
      <c r="M84" s="2"/>
      <c r="N84" s="2"/>
      <c r="O84" s="2" t="str">
        <f>Messy_Data!S84</f>
        <v>M11</v>
      </c>
      <c r="P84" s="2" t="str">
        <f>Messy_Data!U84</f>
        <v>RESIGNED</v>
      </c>
      <c r="Q84" s="2">
        <f ca="1">Messy_Data!V84</f>
        <v>781</v>
      </c>
      <c r="R84" s="2">
        <f ca="1">Messy_Data!W84</f>
        <v>25</v>
      </c>
      <c r="S84" s="2">
        <f ca="1">Messy_Data!X84</f>
        <v>2</v>
      </c>
      <c r="T84" s="2"/>
      <c r="U84" s="2"/>
      <c r="V84" s="2"/>
      <c r="W84" s="9"/>
      <c r="X84" s="2"/>
      <c r="Y84" s="12"/>
      <c r="Z84" s="12"/>
      <c r="AA84" s="2" t="str">
        <f ca="1">Messy_Data!AA84</f>
        <v>OK</v>
      </c>
    </row>
    <row r="85" spans="1:27" x14ac:dyDescent="0.3">
      <c r="A85" s="2" t="str">
        <f>Messy_Data!B85</f>
        <v>EMP84</v>
      </c>
      <c r="B85" s="2" t="str">
        <f>Messy_Data!D85</f>
        <v>Suresh</v>
      </c>
      <c r="C85" s="2" t="str">
        <f>Messy_Data!F85</f>
        <v>HR</v>
      </c>
      <c r="D85" s="3">
        <f>Messy_Data!H85</f>
        <v>44146</v>
      </c>
      <c r="E85" s="3">
        <f ca="1">Messy_Data!J85</f>
        <v>46024</v>
      </c>
      <c r="F85" s="2">
        <f>Messy_Data!L85</f>
        <v>9829974201</v>
      </c>
      <c r="G85" s="2" t="str">
        <f>Messy_Data!N85</f>
        <v>pooja@company.com</v>
      </c>
      <c r="H85" s="12">
        <f>Messy_Data!O85</f>
        <v>71565</v>
      </c>
      <c r="I85" s="2" t="str">
        <f>Messy_Data!P85</f>
        <v>60K-80K</v>
      </c>
      <c r="J85" s="2"/>
      <c r="K85" s="2"/>
      <c r="L85" s="2"/>
      <c r="M85" s="2"/>
      <c r="N85" s="2"/>
      <c r="O85" s="2" t="str">
        <f>Messy_Data!S85</f>
        <v>M6</v>
      </c>
      <c r="P85" s="2" t="str">
        <f>Messy_Data!U85</f>
        <v>ON HOLD</v>
      </c>
      <c r="Q85" s="2">
        <f ca="1">Messy_Data!V85</f>
        <v>1878</v>
      </c>
      <c r="R85" s="2">
        <f ca="1">Messy_Data!W85</f>
        <v>61</v>
      </c>
      <c r="S85" s="2">
        <f ca="1">Messy_Data!X85</f>
        <v>5</v>
      </c>
      <c r="T85" s="2"/>
      <c r="U85" s="2"/>
      <c r="V85" s="2"/>
      <c r="W85" s="9"/>
      <c r="X85" s="2"/>
      <c r="Y85" s="12"/>
      <c r="Z85" s="12"/>
      <c r="AA85" s="2" t="str">
        <f ca="1">Messy_Data!AA85</f>
        <v>OK</v>
      </c>
    </row>
    <row r="86" spans="1:27" x14ac:dyDescent="0.3">
      <c r="A86" s="2" t="str">
        <f>Messy_Data!B86</f>
        <v>EMP85</v>
      </c>
      <c r="B86" s="2" t="str">
        <f>Messy_Data!D86</f>
        <v>Rahul</v>
      </c>
      <c r="C86" s="2" t="str">
        <f>Messy_Data!F86</f>
        <v>SALES</v>
      </c>
      <c r="D86" s="3">
        <f>Messy_Data!H86</f>
        <v>44259</v>
      </c>
      <c r="E86" s="3">
        <f ca="1">Messy_Data!J86</f>
        <v>44933</v>
      </c>
      <c r="F86" s="2">
        <f>Messy_Data!L86</f>
        <v>9425753674</v>
      </c>
      <c r="G86" s="2" t="str">
        <f>Messy_Data!N86</f>
        <v>pooja@company.com</v>
      </c>
      <c r="H86" s="12">
        <f>Messy_Data!O86</f>
        <v>22625</v>
      </c>
      <c r="I86" s="2" t="str">
        <f>Messy_Data!P86</f>
        <v>20K-40K</v>
      </c>
      <c r="J86" s="2"/>
      <c r="K86" s="2"/>
      <c r="L86" s="2"/>
      <c r="M86" s="2"/>
      <c r="N86" s="2"/>
      <c r="O86" s="2" t="str">
        <f>Messy_Data!S86</f>
        <v>M10</v>
      </c>
      <c r="P86" s="2" t="str">
        <f>Messy_Data!U86</f>
        <v>ON HOLD</v>
      </c>
      <c r="Q86" s="2">
        <f ca="1">Messy_Data!V86</f>
        <v>674</v>
      </c>
      <c r="R86" s="2">
        <f ca="1">Messy_Data!W86</f>
        <v>22</v>
      </c>
      <c r="S86" s="2">
        <f ca="1">Messy_Data!X86</f>
        <v>1</v>
      </c>
      <c r="T86" s="2"/>
      <c r="U86" s="2"/>
      <c r="V86" s="2"/>
      <c r="W86" s="9"/>
      <c r="X86" s="2"/>
      <c r="Y86" s="12"/>
      <c r="Z86" s="12"/>
      <c r="AA86" s="2" t="str">
        <f ca="1">Messy_Data!AA86</f>
        <v>OK</v>
      </c>
    </row>
    <row r="87" spans="1:27" x14ac:dyDescent="0.3">
      <c r="A87" s="2" t="str">
        <f>Messy_Data!B87</f>
        <v>EMP86</v>
      </c>
      <c r="B87" s="2" t="str">
        <f>Messy_Data!D87</f>
        <v>Vikas</v>
      </c>
      <c r="C87" s="2" t="str">
        <f>Messy_Data!F87</f>
        <v>SALES</v>
      </c>
      <c r="D87" s="3">
        <f>Messy_Data!H87</f>
        <v>43809</v>
      </c>
      <c r="E87" s="3">
        <f ca="1">Messy_Data!J87</f>
        <v>44858</v>
      </c>
      <c r="F87" s="2">
        <f>Messy_Data!L87</f>
        <v>9924938265</v>
      </c>
      <c r="G87" s="2" t="str">
        <f>Messy_Data!N87</f>
        <v>rahul@company.com</v>
      </c>
      <c r="H87" s="12">
        <f>Messy_Data!O87</f>
        <v>37539</v>
      </c>
      <c r="I87" s="2" t="str">
        <f>Messy_Data!P87</f>
        <v>20K-40K</v>
      </c>
      <c r="J87" s="2"/>
      <c r="K87" s="2"/>
      <c r="L87" s="2"/>
      <c r="M87" s="2"/>
      <c r="N87" s="2"/>
      <c r="O87" s="2" t="str">
        <f>Messy_Data!S87</f>
        <v>M19</v>
      </c>
      <c r="P87" s="2" t="str">
        <f>Messy_Data!U87</f>
        <v>RESIGNED</v>
      </c>
      <c r="Q87" s="2">
        <f ca="1">Messy_Data!V87</f>
        <v>1049</v>
      </c>
      <c r="R87" s="2">
        <f ca="1">Messy_Data!W87</f>
        <v>34</v>
      </c>
      <c r="S87" s="2">
        <f ca="1">Messy_Data!X87</f>
        <v>2</v>
      </c>
      <c r="T87" s="2"/>
      <c r="U87" s="2"/>
      <c r="V87" s="2"/>
      <c r="W87" s="9"/>
      <c r="X87" s="2"/>
      <c r="Y87" s="12"/>
      <c r="Z87" s="12"/>
      <c r="AA87" s="2" t="str">
        <f ca="1">Messy_Data!AA87</f>
        <v>OK</v>
      </c>
    </row>
    <row r="88" spans="1:27" x14ac:dyDescent="0.3">
      <c r="A88" s="2" t="str">
        <f>Messy_Data!B88</f>
        <v>EMP87</v>
      </c>
      <c r="B88" s="2" t="str">
        <f>Messy_Data!D88</f>
        <v>Amit</v>
      </c>
      <c r="C88" s="2" t="str">
        <f>Messy_Data!F88</f>
        <v>FINANCE</v>
      </c>
      <c r="D88" s="3">
        <f>Messy_Data!H88</f>
        <v>43783</v>
      </c>
      <c r="E88" s="3">
        <f ca="1">Messy_Data!J88</f>
        <v>45019</v>
      </c>
      <c r="F88" s="2">
        <f>Messy_Data!L88</f>
        <v>9839858808</v>
      </c>
      <c r="G88" s="2" t="str">
        <f>Messy_Data!N88</f>
        <v>kiran@company.com</v>
      </c>
      <c r="H88" s="12">
        <f>Messy_Data!O88</f>
        <v>45434</v>
      </c>
      <c r="I88" s="2" t="str">
        <f>Messy_Data!P88</f>
        <v>40K-60K</v>
      </c>
      <c r="J88" s="2"/>
      <c r="K88" s="2"/>
      <c r="L88" s="2"/>
      <c r="M88" s="2"/>
      <c r="N88" s="2"/>
      <c r="O88" s="2" t="str">
        <f>Messy_Data!S88</f>
        <v>M8</v>
      </c>
      <c r="P88" s="2" t="str">
        <f>Messy_Data!U88</f>
        <v>RESIGNED</v>
      </c>
      <c r="Q88" s="2">
        <f ca="1">Messy_Data!V88</f>
        <v>1236</v>
      </c>
      <c r="R88" s="2">
        <f ca="1">Messy_Data!W88</f>
        <v>40</v>
      </c>
      <c r="S88" s="2">
        <f ca="1">Messy_Data!X88</f>
        <v>3</v>
      </c>
      <c r="T88" s="2"/>
      <c r="U88" s="2"/>
      <c r="V88" s="2"/>
      <c r="W88" s="9"/>
      <c r="X88" s="2"/>
      <c r="Y88" s="12"/>
      <c r="Z88" s="12"/>
      <c r="AA88" s="2" t="str">
        <f ca="1">Messy_Data!AA88</f>
        <v>OK</v>
      </c>
    </row>
    <row r="89" spans="1:27" x14ac:dyDescent="0.3">
      <c r="A89" s="2" t="str">
        <f>Messy_Data!B89</f>
        <v>EMP88</v>
      </c>
      <c r="B89" s="2" t="str">
        <f>Messy_Data!D89</f>
        <v>Pooja</v>
      </c>
      <c r="C89" s="2" t="str">
        <f>Messy_Data!F89</f>
        <v>IT</v>
      </c>
      <c r="D89" s="3">
        <f>Messy_Data!H89</f>
        <v>44858</v>
      </c>
      <c r="E89" s="3">
        <f ca="1">Messy_Data!J89</f>
        <v>45676</v>
      </c>
      <c r="F89" s="2">
        <f>Messy_Data!L89</f>
        <v>9383579421</v>
      </c>
      <c r="G89" s="2" t="str">
        <f>Messy_Data!N89</f>
        <v>suresh@gmail.com</v>
      </c>
      <c r="H89" s="12">
        <f>Messy_Data!O89</f>
        <v>22336</v>
      </c>
      <c r="I89" s="2" t="str">
        <f>Messy_Data!P89</f>
        <v>20K-40K</v>
      </c>
      <c r="J89" s="2"/>
      <c r="K89" s="2"/>
      <c r="L89" s="2"/>
      <c r="M89" s="2"/>
      <c r="N89" s="2"/>
      <c r="O89" s="2" t="str">
        <f>Messy_Data!S89</f>
        <v>M14</v>
      </c>
      <c r="P89" s="2" t="str">
        <f>Messy_Data!U89</f>
        <v>RESIGNED</v>
      </c>
      <c r="Q89" s="2">
        <f ca="1">Messy_Data!V89</f>
        <v>818</v>
      </c>
      <c r="R89" s="2">
        <f ca="1">Messy_Data!W89</f>
        <v>26</v>
      </c>
      <c r="S89" s="2">
        <f ca="1">Messy_Data!X89</f>
        <v>2</v>
      </c>
      <c r="T89" s="2"/>
      <c r="U89" s="2"/>
      <c r="V89" s="2"/>
      <c r="W89" s="9"/>
      <c r="X89" s="2"/>
      <c r="Y89" s="12"/>
      <c r="Z89" s="12"/>
      <c r="AA89" s="2" t="str">
        <f ca="1">Messy_Data!AA89</f>
        <v>OK</v>
      </c>
    </row>
    <row r="90" spans="1:27" x14ac:dyDescent="0.3">
      <c r="A90" s="2" t="str">
        <f>Messy_Data!B90</f>
        <v>EMP89</v>
      </c>
      <c r="B90" s="2" t="str">
        <f>Messy_Data!D90</f>
        <v>Sunita</v>
      </c>
      <c r="C90" s="2" t="str">
        <f>Messy_Data!F90</f>
        <v>IT</v>
      </c>
      <c r="D90" s="3">
        <f>Messy_Data!H90</f>
        <v>44923</v>
      </c>
      <c r="E90" s="3">
        <f ca="1">Messy_Data!J90</f>
        <v>45612</v>
      </c>
      <c r="F90" s="2">
        <f>Messy_Data!L90</f>
        <v>9731920574</v>
      </c>
      <c r="G90" s="2" t="str">
        <f>Messy_Data!N90</f>
        <v>amit@company.com</v>
      </c>
      <c r="H90" s="12">
        <f>Messy_Data!O90</f>
        <v>73367</v>
      </c>
      <c r="I90" s="2" t="str">
        <f>Messy_Data!P90</f>
        <v>60K-80K</v>
      </c>
      <c r="J90" s="2"/>
      <c r="K90" s="2"/>
      <c r="L90" s="2"/>
      <c r="M90" s="2"/>
      <c r="N90" s="2"/>
      <c r="O90" s="2" t="str">
        <f>Messy_Data!S90</f>
        <v>M14</v>
      </c>
      <c r="P90" s="2" t="str">
        <f>Messy_Data!U90</f>
        <v>ON HOLD</v>
      </c>
      <c r="Q90" s="2">
        <f ca="1">Messy_Data!V90</f>
        <v>689</v>
      </c>
      <c r="R90" s="2">
        <f ca="1">Messy_Data!W90</f>
        <v>22</v>
      </c>
      <c r="S90" s="2">
        <f ca="1">Messy_Data!X90</f>
        <v>1</v>
      </c>
      <c r="T90" s="2"/>
      <c r="U90" s="2"/>
      <c r="V90" s="2"/>
      <c r="W90" s="9"/>
      <c r="X90" s="2"/>
      <c r="Y90" s="12"/>
      <c r="Z90" s="12"/>
      <c r="AA90" s="2" t="str">
        <f ca="1">Messy_Data!AA90</f>
        <v>OK</v>
      </c>
    </row>
    <row r="91" spans="1:27" x14ac:dyDescent="0.3">
      <c r="A91" s="2" t="str">
        <f>Messy_Data!B91</f>
        <v>EMP90</v>
      </c>
      <c r="B91" s="2" t="str">
        <f>Messy_Data!D91</f>
        <v>Amit</v>
      </c>
      <c r="C91" s="2" t="str">
        <f>Messy_Data!F91</f>
        <v>SALES</v>
      </c>
      <c r="D91" s="3">
        <f>Messy_Data!H91</f>
        <v>45253</v>
      </c>
      <c r="E91" s="3">
        <f ca="1">Messy_Data!J91</f>
        <v>46648</v>
      </c>
      <c r="F91" s="2">
        <f>Messy_Data!L91</f>
        <v>9632028890</v>
      </c>
      <c r="G91" s="2" t="str">
        <f>Messy_Data!N91</f>
        <v>vikas@company.com</v>
      </c>
      <c r="H91" s="12">
        <f>Messy_Data!O91</f>
        <v>84519</v>
      </c>
      <c r="I91" s="2" t="str">
        <f>Messy_Data!P91</f>
        <v>Above 80K</v>
      </c>
      <c r="J91" s="2"/>
      <c r="K91" s="2"/>
      <c r="L91" s="2"/>
      <c r="M91" s="2"/>
      <c r="N91" s="2"/>
      <c r="O91" s="2" t="str">
        <f>Messy_Data!S91</f>
        <v>M19</v>
      </c>
      <c r="P91" s="2" t="str">
        <f>Messy_Data!U91</f>
        <v>ON HOLD</v>
      </c>
      <c r="Q91" s="2">
        <f ca="1">Messy_Data!V91</f>
        <v>1395</v>
      </c>
      <c r="R91" s="2">
        <f ca="1">Messy_Data!W91</f>
        <v>45</v>
      </c>
      <c r="S91" s="2">
        <f ca="1">Messy_Data!X91</f>
        <v>3</v>
      </c>
      <c r="T91" s="2"/>
      <c r="U91" s="2"/>
      <c r="V91" s="2"/>
      <c r="W91" s="9"/>
      <c r="X91" s="2"/>
      <c r="Y91" s="12"/>
      <c r="Z91" s="12"/>
      <c r="AA91" s="2" t="str">
        <f ca="1">Messy_Data!AA91</f>
        <v>OK</v>
      </c>
    </row>
    <row r="92" spans="1:27" x14ac:dyDescent="0.3">
      <c r="A92" s="2" t="str">
        <f>Messy_Data!B92</f>
        <v>EMP91</v>
      </c>
      <c r="B92" s="2" t="str">
        <f>Messy_Data!D92</f>
        <v>Vikas</v>
      </c>
      <c r="C92" s="2" t="str">
        <f>Messy_Data!F92</f>
        <v>IT</v>
      </c>
      <c r="D92" s="3">
        <f>Messy_Data!H92</f>
        <v>44170</v>
      </c>
      <c r="E92" s="3">
        <f ca="1">Messy_Data!J92</f>
        <v>46024</v>
      </c>
      <c r="F92" s="2">
        <f>Messy_Data!L92</f>
        <v>9387766279</v>
      </c>
      <c r="G92" s="2" t="str">
        <f>Messy_Data!N92</f>
        <v>ankit@company.com</v>
      </c>
      <c r="H92" s="12">
        <f>Messy_Data!O92</f>
        <v>18820</v>
      </c>
      <c r="I92" s="2" t="str">
        <f>Messy_Data!P92</f>
        <v>Below 20K</v>
      </c>
      <c r="J92" s="2"/>
      <c r="K92" s="2"/>
      <c r="L92" s="2"/>
      <c r="M92" s="2"/>
      <c r="N92" s="2"/>
      <c r="O92" s="2" t="str">
        <f>Messy_Data!S92</f>
        <v>M23</v>
      </c>
      <c r="P92" s="2" t="str">
        <f>Messy_Data!U92</f>
        <v>ON HOLD</v>
      </c>
      <c r="Q92" s="2">
        <f ca="1">Messy_Data!V92</f>
        <v>1854</v>
      </c>
      <c r="R92" s="2">
        <f ca="1">Messy_Data!W92</f>
        <v>60</v>
      </c>
      <c r="S92" s="2">
        <f ca="1">Messy_Data!X92</f>
        <v>5</v>
      </c>
      <c r="T92" s="2"/>
      <c r="U92" s="2"/>
      <c r="V92" s="2"/>
      <c r="W92" s="9"/>
      <c r="X92" s="2"/>
      <c r="Y92" s="12"/>
      <c r="Z92" s="12"/>
      <c r="AA92" s="2" t="str">
        <f ca="1">Messy_Data!AA92</f>
        <v>OK</v>
      </c>
    </row>
    <row r="93" spans="1:27" x14ac:dyDescent="0.3">
      <c r="A93" s="2" t="str">
        <f>Messy_Data!B93</f>
        <v>EMP92</v>
      </c>
      <c r="B93" s="2" t="str">
        <f>Messy_Data!D93</f>
        <v>Pooja</v>
      </c>
      <c r="C93" s="2" t="str">
        <f>Messy_Data!F93</f>
        <v>IT</v>
      </c>
      <c r="D93" s="3">
        <f>Messy_Data!H93</f>
        <v>44544</v>
      </c>
      <c r="E93" s="3">
        <f ca="1">Messy_Data!J93</f>
        <v>45936</v>
      </c>
      <c r="F93" s="2">
        <f>Messy_Data!L93</f>
        <v>9844127862</v>
      </c>
      <c r="G93" s="2" t="str">
        <f>Messy_Data!N93</f>
        <v>sunita@company.com</v>
      </c>
      <c r="H93" s="12">
        <f>Messy_Data!O93</f>
        <v>36271</v>
      </c>
      <c r="I93" s="2" t="str">
        <f>Messy_Data!P93</f>
        <v>20K-40K</v>
      </c>
      <c r="J93" s="2"/>
      <c r="K93" s="2"/>
      <c r="L93" s="2"/>
      <c r="M93" s="2"/>
      <c r="N93" s="2"/>
      <c r="O93" s="2" t="str">
        <f>Messy_Data!S93</f>
        <v>M22</v>
      </c>
      <c r="P93" s="2" t="str">
        <f>Messy_Data!U93</f>
        <v>ON HOLD</v>
      </c>
      <c r="Q93" s="2">
        <f ca="1">Messy_Data!V93</f>
        <v>1392</v>
      </c>
      <c r="R93" s="2">
        <f ca="1">Messy_Data!W93</f>
        <v>45</v>
      </c>
      <c r="S93" s="2">
        <f ca="1">Messy_Data!X93</f>
        <v>3</v>
      </c>
      <c r="T93" s="2"/>
      <c r="U93" s="2"/>
      <c r="V93" s="2"/>
      <c r="W93" s="9"/>
      <c r="X93" s="2"/>
      <c r="Y93" s="12"/>
      <c r="Z93" s="12"/>
      <c r="AA93" s="2" t="str">
        <f ca="1">Messy_Data!AA93</f>
        <v>OK</v>
      </c>
    </row>
    <row r="94" spans="1:27" x14ac:dyDescent="0.3">
      <c r="A94" s="2" t="str">
        <f>Messy_Data!B94</f>
        <v>EMP93</v>
      </c>
      <c r="B94" s="2" t="str">
        <f>Messy_Data!D94</f>
        <v>Neha</v>
      </c>
      <c r="C94" s="2" t="str">
        <f>Messy_Data!F94</f>
        <v>IT</v>
      </c>
      <c r="D94" s="3">
        <f>Messy_Data!H94</f>
        <v>44516</v>
      </c>
      <c r="E94" s="3">
        <f ca="1">Messy_Data!J94</f>
        <v>45275</v>
      </c>
      <c r="F94" s="2">
        <f>Messy_Data!L94</f>
        <v>9828757360</v>
      </c>
      <c r="G94" s="2" t="str">
        <f>Messy_Data!N94</f>
        <v>pooja@company.com</v>
      </c>
      <c r="H94" s="12">
        <f>Messy_Data!O94</f>
        <v>20835</v>
      </c>
      <c r="I94" s="2" t="str">
        <f>Messy_Data!P94</f>
        <v>20K-40K</v>
      </c>
      <c r="J94" s="2"/>
      <c r="K94" s="2"/>
      <c r="L94" s="2"/>
      <c r="M94" s="2"/>
      <c r="N94" s="2"/>
      <c r="O94" s="2" t="str">
        <f>Messy_Data!S94</f>
        <v>M12</v>
      </c>
      <c r="P94" s="2" t="str">
        <f>Messy_Data!U94</f>
        <v>RESIGNED</v>
      </c>
      <c r="Q94" s="2">
        <f ca="1">Messy_Data!V94</f>
        <v>759</v>
      </c>
      <c r="R94" s="2">
        <f ca="1">Messy_Data!W94</f>
        <v>24</v>
      </c>
      <c r="S94" s="2">
        <f ca="1">Messy_Data!X94</f>
        <v>2</v>
      </c>
      <c r="T94" s="2"/>
      <c r="U94" s="2"/>
      <c r="V94" s="2"/>
      <c r="W94" s="9"/>
      <c r="X94" s="2"/>
      <c r="Y94" s="12"/>
      <c r="Z94" s="12"/>
      <c r="AA94" s="2" t="str">
        <f ca="1">Messy_Data!AA94</f>
        <v>OK</v>
      </c>
    </row>
    <row r="95" spans="1:27" x14ac:dyDescent="0.3">
      <c r="A95" s="2" t="str">
        <f>Messy_Data!B95</f>
        <v>EMP94</v>
      </c>
      <c r="B95" s="2" t="str">
        <f>Messy_Data!D95</f>
        <v>Ravi</v>
      </c>
      <c r="C95" s="2" t="str">
        <f>Messy_Data!F95</f>
        <v>HR</v>
      </c>
      <c r="D95" s="3">
        <f>Messy_Data!H95</f>
        <v>43623</v>
      </c>
      <c r="E95" s="3">
        <f ca="1">Messy_Data!J95</f>
        <v>44009</v>
      </c>
      <c r="F95" s="2">
        <f>Messy_Data!L95</f>
        <v>9758816519</v>
      </c>
      <c r="G95" s="2" t="str">
        <f>Messy_Data!N95</f>
        <v>neha@company.com</v>
      </c>
      <c r="H95" s="12">
        <f>Messy_Data!O95</f>
        <v>37432</v>
      </c>
      <c r="I95" s="2" t="str">
        <f>Messy_Data!P95</f>
        <v>20K-40K</v>
      </c>
      <c r="J95" s="2"/>
      <c r="K95" s="2"/>
      <c r="L95" s="2"/>
      <c r="M95" s="2"/>
      <c r="N95" s="2"/>
      <c r="O95" s="2" t="str">
        <f>Messy_Data!S95</f>
        <v>M25</v>
      </c>
      <c r="P95" s="2" t="str">
        <f>Messy_Data!U95</f>
        <v>ON HOLD</v>
      </c>
      <c r="Q95" s="2">
        <f ca="1">Messy_Data!V95</f>
        <v>386</v>
      </c>
      <c r="R95" s="2">
        <f ca="1">Messy_Data!W95</f>
        <v>12</v>
      </c>
      <c r="S95" s="2">
        <f ca="1">Messy_Data!X95</f>
        <v>1</v>
      </c>
      <c r="T95" s="2"/>
      <c r="U95" s="2"/>
      <c r="V95" s="2"/>
      <c r="W95" s="9"/>
      <c r="X95" s="2"/>
      <c r="Y95" s="12"/>
      <c r="Z95" s="12"/>
      <c r="AA95" s="2" t="str">
        <f ca="1">Messy_Data!AA95</f>
        <v>OK</v>
      </c>
    </row>
    <row r="96" spans="1:27" x14ac:dyDescent="0.3">
      <c r="A96" s="2" t="str">
        <f>Messy_Data!B96</f>
        <v>EMP95</v>
      </c>
      <c r="B96" s="2" t="str">
        <f>Messy_Data!D96</f>
        <v>Ankit</v>
      </c>
      <c r="C96" s="2" t="str">
        <f>Messy_Data!F96</f>
        <v>HR</v>
      </c>
      <c r="D96" s="3">
        <f>Messy_Data!H96</f>
        <v>45263</v>
      </c>
      <c r="E96" s="3">
        <f ca="1">Messy_Data!J96</f>
        <v>46149</v>
      </c>
      <c r="F96" s="2">
        <f>Messy_Data!L96</f>
        <v>9841727344</v>
      </c>
      <c r="G96" s="2" t="str">
        <f>Messy_Data!N96</f>
        <v>ravi@company.com</v>
      </c>
      <c r="H96" s="12">
        <f>Messy_Data!O96</f>
        <v>61106</v>
      </c>
      <c r="I96" s="2" t="str">
        <f>Messy_Data!P96</f>
        <v>60K-80K</v>
      </c>
      <c r="J96" s="2"/>
      <c r="K96" s="2"/>
      <c r="L96" s="2"/>
      <c r="M96" s="2"/>
      <c r="N96" s="2"/>
      <c r="O96" s="2" t="str">
        <f>Messy_Data!S96</f>
        <v>M9</v>
      </c>
      <c r="P96" s="2" t="str">
        <f>Messy_Data!U96</f>
        <v>RESIGNED</v>
      </c>
      <c r="Q96" s="2">
        <f ca="1">Messy_Data!V96</f>
        <v>886</v>
      </c>
      <c r="R96" s="2">
        <f ca="1">Messy_Data!W96</f>
        <v>29</v>
      </c>
      <c r="S96" s="2">
        <f ca="1">Messy_Data!X96</f>
        <v>2</v>
      </c>
      <c r="T96" s="2"/>
      <c r="U96" s="2"/>
      <c r="V96" s="2"/>
      <c r="W96" s="9"/>
      <c r="X96" s="2"/>
      <c r="Y96" s="12"/>
      <c r="Z96" s="12"/>
      <c r="AA96" s="2" t="str">
        <f ca="1">Messy_Data!AA96</f>
        <v>OK</v>
      </c>
    </row>
    <row r="97" spans="1:27" x14ac:dyDescent="0.3">
      <c r="A97" s="2" t="str">
        <f>Messy_Data!B97</f>
        <v>EMP96</v>
      </c>
      <c r="B97" s="2" t="str">
        <f>Messy_Data!D97</f>
        <v>Kiran</v>
      </c>
      <c r="C97" s="2" t="str">
        <f>Messy_Data!F97</f>
        <v>SALES</v>
      </c>
      <c r="D97" s="3">
        <f>Messy_Data!H97</f>
        <v>44261</v>
      </c>
      <c r="E97" s="3">
        <f ca="1">Messy_Data!J97</f>
        <v>45490</v>
      </c>
      <c r="F97" s="2">
        <f>Messy_Data!L97</f>
        <v>9594756100</v>
      </c>
      <c r="G97" s="2" t="str">
        <f>Messy_Data!N97</f>
        <v>neha@gmail.com</v>
      </c>
      <c r="H97" s="12">
        <f>Messy_Data!O97</f>
        <v>62069</v>
      </c>
      <c r="I97" s="2" t="str">
        <f>Messy_Data!P97</f>
        <v>60K-80K</v>
      </c>
      <c r="J97" s="2"/>
      <c r="K97" s="2"/>
      <c r="L97" s="2"/>
      <c r="M97" s="2"/>
      <c r="N97" s="2"/>
      <c r="O97" s="2" t="str">
        <f>Messy_Data!S97</f>
        <v>M18</v>
      </c>
      <c r="P97" s="2" t="str">
        <f>Messy_Data!U97</f>
        <v>RESIGNED</v>
      </c>
      <c r="Q97" s="2">
        <f ca="1">Messy_Data!V97</f>
        <v>1229</v>
      </c>
      <c r="R97" s="2">
        <f ca="1">Messy_Data!W97</f>
        <v>40</v>
      </c>
      <c r="S97" s="2">
        <f ca="1">Messy_Data!X97</f>
        <v>3</v>
      </c>
      <c r="T97" s="2"/>
      <c r="U97" s="2"/>
      <c r="V97" s="2"/>
      <c r="W97" s="9"/>
      <c r="X97" s="2"/>
      <c r="Y97" s="12"/>
      <c r="Z97" s="12"/>
      <c r="AA97" s="2" t="str">
        <f ca="1">Messy_Data!AA97</f>
        <v>OK</v>
      </c>
    </row>
    <row r="98" spans="1:27" x14ac:dyDescent="0.3">
      <c r="A98" s="2" t="str">
        <f>Messy_Data!B98</f>
        <v>EMP97</v>
      </c>
      <c r="B98" s="2" t="str">
        <f>Messy_Data!D98</f>
        <v>Ravi</v>
      </c>
      <c r="C98" s="2" t="str">
        <f>Messy_Data!F98</f>
        <v>SALES</v>
      </c>
      <c r="D98" s="3">
        <f>Messy_Data!H98</f>
        <v>44931</v>
      </c>
      <c r="E98" s="3">
        <f ca="1">Messy_Data!J98</f>
        <v>46283</v>
      </c>
      <c r="F98" s="2">
        <f>Messy_Data!L98</f>
        <v>9170482684</v>
      </c>
      <c r="G98" s="2" t="str">
        <f>Messy_Data!N98</f>
        <v>sunita@company.com</v>
      </c>
      <c r="H98" s="12">
        <f>Messy_Data!O98</f>
        <v>51835</v>
      </c>
      <c r="I98" s="2" t="str">
        <f>Messy_Data!P98</f>
        <v>40K-60K</v>
      </c>
      <c r="J98" s="2"/>
      <c r="K98" s="2"/>
      <c r="L98" s="2"/>
      <c r="M98" s="2"/>
      <c r="N98" s="2"/>
      <c r="O98" s="2" t="str">
        <f>Messy_Data!S98</f>
        <v>M18</v>
      </c>
      <c r="P98" s="2" t="str">
        <f>Messy_Data!U98</f>
        <v>RESIGNED</v>
      </c>
      <c r="Q98" s="2">
        <f ca="1">Messy_Data!V98</f>
        <v>1352</v>
      </c>
      <c r="R98" s="2">
        <f ca="1">Messy_Data!W98</f>
        <v>44</v>
      </c>
      <c r="S98" s="2">
        <f ca="1">Messy_Data!X98</f>
        <v>3</v>
      </c>
      <c r="T98" s="2"/>
      <c r="U98" s="2"/>
      <c r="V98" s="2"/>
      <c r="W98" s="9"/>
      <c r="X98" s="2"/>
      <c r="Y98" s="12"/>
      <c r="Z98" s="12"/>
      <c r="AA98" s="2" t="str">
        <f ca="1">Messy_Data!AA98</f>
        <v>OK</v>
      </c>
    </row>
    <row r="99" spans="1:27" x14ac:dyDescent="0.3">
      <c r="A99" s="2" t="str">
        <f>Messy_Data!B99</f>
        <v>EMP98</v>
      </c>
      <c r="B99" s="2" t="str">
        <f>Messy_Data!D99</f>
        <v>Ankit</v>
      </c>
      <c r="C99" s="2" t="str">
        <f>Messy_Data!F99</f>
        <v>HR</v>
      </c>
      <c r="D99" s="3">
        <f>Messy_Data!H99</f>
        <v>44858</v>
      </c>
      <c r="E99" s="3">
        <f ca="1">Messy_Data!J99</f>
        <v>46024</v>
      </c>
      <c r="F99" s="2">
        <f>Messy_Data!L99</f>
        <v>9831807096</v>
      </c>
      <c r="G99" s="2" t="str">
        <f>Messy_Data!N99</f>
        <v>vikas@company.com</v>
      </c>
      <c r="H99" s="12">
        <f>Messy_Data!O99</f>
        <v>39034</v>
      </c>
      <c r="I99" s="2" t="str">
        <f>Messy_Data!P99</f>
        <v>20K-40K</v>
      </c>
      <c r="J99" s="2"/>
      <c r="K99" s="2"/>
      <c r="L99" s="2"/>
      <c r="M99" s="2"/>
      <c r="N99" s="2"/>
      <c r="O99" s="2" t="str">
        <f>Messy_Data!S99</f>
        <v>M1</v>
      </c>
      <c r="P99" s="2" t="str">
        <f>Messy_Data!U99</f>
        <v>ACTIVE</v>
      </c>
      <c r="Q99" s="2">
        <f ca="1">Messy_Data!V99</f>
        <v>1166</v>
      </c>
      <c r="R99" s="2">
        <f ca="1">Messy_Data!W99</f>
        <v>38</v>
      </c>
      <c r="S99" s="2">
        <f ca="1">Messy_Data!X99</f>
        <v>3</v>
      </c>
      <c r="T99" s="2"/>
      <c r="U99" s="2"/>
      <c r="V99" s="2"/>
      <c r="W99" s="9"/>
      <c r="X99" s="2"/>
      <c r="Y99" s="12"/>
      <c r="Z99" s="12"/>
      <c r="AA99" s="2" t="str">
        <f ca="1">Messy_Data!AA99</f>
        <v>OK</v>
      </c>
    </row>
    <row r="100" spans="1:27" x14ac:dyDescent="0.3">
      <c r="A100" s="2" t="str">
        <f>Messy_Data!B100</f>
        <v>EMP99</v>
      </c>
      <c r="B100" s="2" t="str">
        <f>Messy_Data!D100</f>
        <v>Rahul</v>
      </c>
      <c r="C100" s="2" t="str">
        <f>Messy_Data!F100</f>
        <v>SALES</v>
      </c>
      <c r="D100" s="3">
        <f>Messy_Data!H100</f>
        <v>43999</v>
      </c>
      <c r="E100" s="3">
        <f ca="1">Messy_Data!J100</f>
        <v>45475</v>
      </c>
      <c r="F100" s="2">
        <f>Messy_Data!L100</f>
        <v>9362510904</v>
      </c>
      <c r="G100" s="2" t="str">
        <f>Messy_Data!N100</f>
        <v>amit@company.com</v>
      </c>
      <c r="H100" s="12">
        <f>Messy_Data!O100</f>
        <v>58967</v>
      </c>
      <c r="I100" s="2" t="str">
        <f>Messy_Data!P100</f>
        <v>40K-60K</v>
      </c>
      <c r="J100" s="2"/>
      <c r="K100" s="2"/>
      <c r="L100" s="2"/>
      <c r="M100" s="2"/>
      <c r="N100" s="2"/>
      <c r="O100" s="2" t="str">
        <f>Messy_Data!S100</f>
        <v>M3</v>
      </c>
      <c r="P100" s="2" t="str">
        <f>Messy_Data!U100</f>
        <v>ACTIVE</v>
      </c>
      <c r="Q100" s="2">
        <f ca="1">Messy_Data!V100</f>
        <v>1476</v>
      </c>
      <c r="R100" s="2">
        <f ca="1">Messy_Data!W100</f>
        <v>48</v>
      </c>
      <c r="S100" s="2">
        <f ca="1">Messy_Data!X100</f>
        <v>4</v>
      </c>
      <c r="T100" s="2"/>
      <c r="U100" s="2"/>
      <c r="V100" s="2"/>
      <c r="W100" s="9"/>
      <c r="X100" s="2"/>
      <c r="Y100" s="12"/>
      <c r="Z100" s="12"/>
      <c r="AA100" s="2" t="str">
        <f ca="1">Messy_Data!AA100</f>
        <v>OK</v>
      </c>
    </row>
    <row r="101" spans="1:27" x14ac:dyDescent="0.3">
      <c r="A101" s="2" t="str">
        <f>Messy_Data!B101</f>
        <v>EMP100</v>
      </c>
      <c r="B101" s="2" t="str">
        <f>Messy_Data!D101</f>
        <v>Ravi</v>
      </c>
      <c r="C101" s="2" t="str">
        <f>Messy_Data!F101</f>
        <v>HR</v>
      </c>
      <c r="D101" s="3">
        <f>Messy_Data!H101</f>
        <v>45064</v>
      </c>
      <c r="E101" s="3">
        <f ca="1">Messy_Data!J101</f>
        <v>45883</v>
      </c>
      <c r="F101" s="2">
        <f>Messy_Data!L101</f>
        <v>9789752352</v>
      </c>
      <c r="G101" s="2" t="str">
        <f>Messy_Data!N101</f>
        <v>rahul@company.com</v>
      </c>
      <c r="H101" s="12">
        <f>Messy_Data!O101</f>
        <v>71057</v>
      </c>
      <c r="I101" s="2" t="str">
        <f>Messy_Data!P101</f>
        <v>60K-80K</v>
      </c>
      <c r="J101" s="2"/>
      <c r="K101" s="2"/>
      <c r="L101" s="2"/>
      <c r="M101" s="2"/>
      <c r="N101" s="2"/>
      <c r="O101" s="2" t="str">
        <f>Messy_Data!S101</f>
        <v>M12</v>
      </c>
      <c r="P101" s="2" t="str">
        <f>Messy_Data!U101</f>
        <v>ACTIVE</v>
      </c>
      <c r="Q101" s="2">
        <f ca="1">Messy_Data!V101</f>
        <v>819</v>
      </c>
      <c r="R101" s="2">
        <f ca="1">Messy_Data!W101</f>
        <v>26</v>
      </c>
      <c r="S101" s="2">
        <f ca="1">Messy_Data!X101</f>
        <v>2</v>
      </c>
      <c r="T101" s="2"/>
      <c r="U101" s="2"/>
      <c r="V101" s="2"/>
      <c r="W101" s="9"/>
      <c r="X101" s="2"/>
      <c r="Y101" s="12"/>
      <c r="Z101" s="12"/>
      <c r="AA101" s="2" t="str">
        <f ca="1">Messy_Data!AA101</f>
        <v>OK</v>
      </c>
    </row>
    <row r="102" spans="1:27" x14ac:dyDescent="0.3">
      <c r="A102" s="2" t="str">
        <f>Messy_Data!B102</f>
        <v>EMP101</v>
      </c>
      <c r="B102" s="2" t="str">
        <f>Messy_Data!D102</f>
        <v>Amit</v>
      </c>
      <c r="C102" s="2" t="str">
        <f>Messy_Data!F102</f>
        <v>SALES</v>
      </c>
      <c r="D102" s="3">
        <f>Messy_Data!H102</f>
        <v>45179</v>
      </c>
      <c r="E102" s="3">
        <f ca="1">Messy_Data!J102</f>
        <v>46381</v>
      </c>
      <c r="F102" s="2">
        <f>Messy_Data!L102</f>
        <v>9578262930</v>
      </c>
      <c r="G102" s="2" t="str">
        <f>Messy_Data!N102</f>
        <v>sunita@company.com</v>
      </c>
      <c r="H102" s="12">
        <f>Messy_Data!O102</f>
        <v>26598</v>
      </c>
      <c r="I102" s="2" t="str">
        <f>Messy_Data!P102</f>
        <v>20K-40K</v>
      </c>
      <c r="J102" s="2"/>
      <c r="K102" s="2"/>
      <c r="L102" s="2"/>
      <c r="M102" s="2"/>
      <c r="N102" s="2"/>
      <c r="O102" s="2" t="str">
        <f>Messy_Data!S102</f>
        <v>M10</v>
      </c>
      <c r="P102" s="2" t="str">
        <f>Messy_Data!U102</f>
        <v>RESIGNED</v>
      </c>
      <c r="Q102" s="2">
        <f ca="1">Messy_Data!V102</f>
        <v>1202</v>
      </c>
      <c r="R102" s="2">
        <f ca="1">Messy_Data!W102</f>
        <v>39</v>
      </c>
      <c r="S102" s="2">
        <f ca="1">Messy_Data!X102</f>
        <v>3</v>
      </c>
      <c r="T102" s="2"/>
      <c r="U102" s="2"/>
      <c r="V102" s="2"/>
      <c r="W102" s="9"/>
      <c r="X102" s="2"/>
      <c r="Y102" s="12"/>
      <c r="Z102" s="12"/>
      <c r="AA102" s="2" t="str">
        <f ca="1">Messy_Data!AA102</f>
        <v>OK</v>
      </c>
    </row>
    <row r="103" spans="1:27" x14ac:dyDescent="0.3">
      <c r="A103" s="2" t="str">
        <f>Messy_Data!B103</f>
        <v>EMP102</v>
      </c>
      <c r="B103" s="2" t="str">
        <f>Messy_Data!D103</f>
        <v>Sunita</v>
      </c>
      <c r="C103" s="2" t="str">
        <f>Messy_Data!F103</f>
        <v>FINANCE</v>
      </c>
      <c r="D103" s="3">
        <f>Messy_Data!H103</f>
        <v>44532</v>
      </c>
      <c r="E103" s="3">
        <f ca="1">Messy_Data!J103</f>
        <v>45801</v>
      </c>
      <c r="F103" s="2">
        <f>Messy_Data!L103</f>
        <v>9879664305</v>
      </c>
      <c r="G103" s="2" t="str">
        <f>Messy_Data!N103</f>
        <v>neha@company.com</v>
      </c>
      <c r="H103" s="12">
        <f>Messy_Data!O103</f>
        <v>93897</v>
      </c>
      <c r="I103" s="2" t="str">
        <f>Messy_Data!P103</f>
        <v>Above 80K</v>
      </c>
      <c r="J103" s="2"/>
      <c r="K103" s="2"/>
      <c r="L103" s="2"/>
      <c r="M103" s="2"/>
      <c r="N103" s="2"/>
      <c r="O103" s="2" t="str">
        <f>Messy_Data!S103</f>
        <v>M19</v>
      </c>
      <c r="P103" s="2" t="str">
        <f>Messy_Data!U103</f>
        <v>ON HOLD</v>
      </c>
      <c r="Q103" s="2">
        <f ca="1">Messy_Data!V103</f>
        <v>1269</v>
      </c>
      <c r="R103" s="2">
        <f ca="1">Messy_Data!W103</f>
        <v>41</v>
      </c>
      <c r="S103" s="2">
        <f ca="1">Messy_Data!X103</f>
        <v>3</v>
      </c>
      <c r="T103" s="2"/>
      <c r="U103" s="2"/>
      <c r="V103" s="2"/>
      <c r="W103" s="9"/>
      <c r="X103" s="2"/>
      <c r="Y103" s="12"/>
      <c r="Z103" s="12"/>
      <c r="AA103" s="2" t="str">
        <f ca="1">Messy_Data!AA103</f>
        <v>OK</v>
      </c>
    </row>
    <row r="104" spans="1:27" x14ac:dyDescent="0.3">
      <c r="A104" s="2" t="str">
        <f>Messy_Data!B104</f>
        <v>EMP103</v>
      </c>
      <c r="B104" s="2" t="str">
        <f>Messy_Data!D104</f>
        <v>Pooja</v>
      </c>
      <c r="C104" s="2" t="str">
        <f>Messy_Data!F104</f>
        <v>IT</v>
      </c>
      <c r="D104" s="3">
        <f>Messy_Data!H104</f>
        <v>44740</v>
      </c>
      <c r="E104" s="3">
        <f ca="1">Messy_Data!J104</f>
        <v>46047</v>
      </c>
      <c r="F104" s="2">
        <f>Messy_Data!L104</f>
        <v>9771413497</v>
      </c>
      <c r="G104" s="2" t="str">
        <f>Messy_Data!N104</f>
        <v>pooja@company.com</v>
      </c>
      <c r="H104" s="12">
        <f>Messy_Data!O104</f>
        <v>52104</v>
      </c>
      <c r="I104" s="2" t="str">
        <f>Messy_Data!P104</f>
        <v>40K-60K</v>
      </c>
      <c r="J104" s="2"/>
      <c r="K104" s="2"/>
      <c r="L104" s="2"/>
      <c r="M104" s="2"/>
      <c r="N104" s="2"/>
      <c r="O104" s="2" t="str">
        <f>Messy_Data!S104</f>
        <v>M21</v>
      </c>
      <c r="P104" s="2" t="str">
        <f>Messy_Data!U104</f>
        <v>ACTIVE</v>
      </c>
      <c r="Q104" s="2">
        <f ca="1">Messy_Data!V104</f>
        <v>1307</v>
      </c>
      <c r="R104" s="2">
        <f ca="1">Messy_Data!W104</f>
        <v>42</v>
      </c>
      <c r="S104" s="2">
        <f ca="1">Messy_Data!X104</f>
        <v>3</v>
      </c>
      <c r="T104" s="2"/>
      <c r="U104" s="2"/>
      <c r="V104" s="2"/>
      <c r="W104" s="9"/>
      <c r="X104" s="2"/>
      <c r="Y104" s="12"/>
      <c r="Z104" s="12"/>
      <c r="AA104" s="2" t="str">
        <f ca="1">Messy_Data!AA104</f>
        <v>OK</v>
      </c>
    </row>
    <row r="105" spans="1:27" x14ac:dyDescent="0.3">
      <c r="A105" s="2" t="str">
        <f>Messy_Data!B105</f>
        <v>EMP104</v>
      </c>
      <c r="B105" s="2" t="str">
        <f>Messy_Data!D105</f>
        <v>Kiran</v>
      </c>
      <c r="C105" s="2" t="str">
        <f>Messy_Data!F105</f>
        <v>IT</v>
      </c>
      <c r="D105" s="3">
        <f>Messy_Data!H105</f>
        <v>43904</v>
      </c>
      <c r="E105" s="3">
        <f ca="1">Messy_Data!J105</f>
        <v>44310</v>
      </c>
      <c r="F105" s="2">
        <f>Messy_Data!L105</f>
        <v>9301582902</v>
      </c>
      <c r="G105" s="2" t="str">
        <f>Messy_Data!N105</f>
        <v>sunita@gmail.com</v>
      </c>
      <c r="H105" s="12">
        <f>Messy_Data!O105</f>
        <v>82888</v>
      </c>
      <c r="I105" s="2" t="str">
        <f>Messy_Data!P105</f>
        <v>Above 80K</v>
      </c>
      <c r="J105" s="2"/>
      <c r="K105" s="2"/>
      <c r="L105" s="2"/>
      <c r="M105" s="2"/>
      <c r="N105" s="2"/>
      <c r="O105" s="2" t="str">
        <f>Messy_Data!S105</f>
        <v>M25</v>
      </c>
      <c r="P105" s="2" t="str">
        <f>Messy_Data!U105</f>
        <v>ACTIVE</v>
      </c>
      <c r="Q105" s="2">
        <f ca="1">Messy_Data!V105</f>
        <v>406</v>
      </c>
      <c r="R105" s="2">
        <f ca="1">Messy_Data!W105</f>
        <v>13</v>
      </c>
      <c r="S105" s="2">
        <f ca="1">Messy_Data!X105</f>
        <v>1</v>
      </c>
      <c r="T105" s="2"/>
      <c r="U105" s="2"/>
      <c r="V105" s="2"/>
      <c r="W105" s="9"/>
      <c r="X105" s="2"/>
      <c r="Y105" s="12"/>
      <c r="Z105" s="12"/>
      <c r="AA105" s="2" t="str">
        <f ca="1">Messy_Data!AA105</f>
        <v>CHECK</v>
      </c>
    </row>
    <row r="106" spans="1:27" x14ac:dyDescent="0.3">
      <c r="A106" s="2" t="str">
        <f>Messy_Data!B106</f>
        <v>EMP105</v>
      </c>
      <c r="B106" s="2" t="str">
        <f>Messy_Data!D106</f>
        <v>Ankit</v>
      </c>
      <c r="C106" s="2" t="str">
        <f>Messy_Data!F106</f>
        <v>HR</v>
      </c>
      <c r="D106" s="3">
        <f>Messy_Data!H106</f>
        <v>44979</v>
      </c>
      <c r="E106" s="3">
        <f ca="1">Messy_Data!J106</f>
        <v>46024</v>
      </c>
      <c r="F106" s="2">
        <f>Messy_Data!L106</f>
        <v>9747584322</v>
      </c>
      <c r="G106" s="2" t="str">
        <f>Messy_Data!N106</f>
        <v>rahul@company.com</v>
      </c>
      <c r="H106" s="12">
        <f>Messy_Data!O106</f>
        <v>55758</v>
      </c>
      <c r="I106" s="2" t="str">
        <f>Messy_Data!P106</f>
        <v>40K-60K</v>
      </c>
      <c r="J106" s="2"/>
      <c r="K106" s="2"/>
      <c r="L106" s="2"/>
      <c r="M106" s="2"/>
      <c r="N106" s="2"/>
      <c r="O106" s="2" t="str">
        <f>Messy_Data!S106</f>
        <v>M24</v>
      </c>
      <c r="P106" s="2" t="str">
        <f>Messy_Data!U106</f>
        <v>ACTIVE</v>
      </c>
      <c r="Q106" s="2">
        <f ca="1">Messy_Data!V106</f>
        <v>1045</v>
      </c>
      <c r="R106" s="2">
        <f ca="1">Messy_Data!W106</f>
        <v>34</v>
      </c>
      <c r="S106" s="2">
        <f ca="1">Messy_Data!X106</f>
        <v>2</v>
      </c>
      <c r="T106" s="2"/>
      <c r="U106" s="2"/>
      <c r="V106" s="2"/>
      <c r="W106" s="9"/>
      <c r="X106" s="2"/>
      <c r="Y106" s="12"/>
      <c r="Z106" s="12"/>
      <c r="AA106" s="2" t="str">
        <f ca="1">Messy_Data!AA106</f>
        <v>OK</v>
      </c>
    </row>
    <row r="107" spans="1:27" x14ac:dyDescent="0.3">
      <c r="A107" s="2" t="str">
        <f>Messy_Data!B107</f>
        <v>EMP106</v>
      </c>
      <c r="B107" s="2" t="str">
        <f>Messy_Data!D107</f>
        <v>Ravi</v>
      </c>
      <c r="C107" s="2" t="str">
        <f>Messy_Data!F107</f>
        <v>FINANCE</v>
      </c>
      <c r="D107" s="3">
        <f>Messy_Data!H107</f>
        <v>44477</v>
      </c>
      <c r="E107" s="3">
        <f ca="1">Messy_Data!J107</f>
        <v>45124</v>
      </c>
      <c r="F107" s="2">
        <f>Messy_Data!L107</f>
        <v>9350953080</v>
      </c>
      <c r="G107" s="2" t="str">
        <f>Messy_Data!N107</f>
        <v>ankit@company.com</v>
      </c>
      <c r="H107" s="12">
        <f>Messy_Data!O107</f>
        <v>49646</v>
      </c>
      <c r="I107" s="2" t="str">
        <f>Messy_Data!P107</f>
        <v>40K-60K</v>
      </c>
      <c r="J107" s="2"/>
      <c r="K107" s="2"/>
      <c r="L107" s="2"/>
      <c r="M107" s="2"/>
      <c r="N107" s="2"/>
      <c r="O107" s="2" t="str">
        <f>Messy_Data!S107</f>
        <v>M15</v>
      </c>
      <c r="P107" s="2" t="str">
        <f>Messy_Data!U107</f>
        <v>ACTIVE</v>
      </c>
      <c r="Q107" s="2">
        <f ca="1">Messy_Data!V107</f>
        <v>647</v>
      </c>
      <c r="R107" s="2">
        <f ca="1">Messy_Data!W107</f>
        <v>21</v>
      </c>
      <c r="S107" s="2">
        <f ca="1">Messy_Data!X107</f>
        <v>1</v>
      </c>
      <c r="T107" s="2"/>
      <c r="U107" s="2"/>
      <c r="V107" s="2"/>
      <c r="W107" s="9"/>
      <c r="X107" s="2"/>
      <c r="Y107" s="12"/>
      <c r="Z107" s="12"/>
      <c r="AA107" s="2" t="str">
        <f ca="1">Messy_Data!AA107</f>
        <v>OK</v>
      </c>
    </row>
    <row r="108" spans="1:27" x14ac:dyDescent="0.3">
      <c r="A108" s="2" t="str">
        <f>Messy_Data!B108</f>
        <v>EMP107</v>
      </c>
      <c r="B108" s="2" t="str">
        <f>Messy_Data!D108</f>
        <v>Kiran</v>
      </c>
      <c r="C108" s="2" t="str">
        <f>Messy_Data!F108</f>
        <v>HR</v>
      </c>
      <c r="D108" s="3">
        <f>Messy_Data!H108</f>
        <v>44755</v>
      </c>
      <c r="E108" s="3">
        <f ca="1">Messy_Data!J108</f>
        <v>45588</v>
      </c>
      <c r="F108" s="2">
        <f>Messy_Data!L108</f>
        <v>9572910705</v>
      </c>
      <c r="G108" s="2" t="str">
        <f>Messy_Data!N108</f>
        <v>kiran@company.com</v>
      </c>
      <c r="H108" s="12">
        <f>Messy_Data!O108</f>
        <v>69437</v>
      </c>
      <c r="I108" s="2" t="str">
        <f>Messy_Data!P108</f>
        <v>60K-80K</v>
      </c>
      <c r="J108" s="2"/>
      <c r="K108" s="2"/>
      <c r="L108" s="2"/>
      <c r="M108" s="2"/>
      <c r="N108" s="2"/>
      <c r="O108" s="2" t="str">
        <f>Messy_Data!S108</f>
        <v>M4</v>
      </c>
      <c r="P108" s="2" t="str">
        <f>Messy_Data!U108</f>
        <v>RESIGNED</v>
      </c>
      <c r="Q108" s="2">
        <f ca="1">Messy_Data!V108</f>
        <v>833</v>
      </c>
      <c r="R108" s="2">
        <f ca="1">Messy_Data!W108</f>
        <v>27</v>
      </c>
      <c r="S108" s="2">
        <f ca="1">Messy_Data!X108</f>
        <v>2</v>
      </c>
      <c r="T108" s="2"/>
      <c r="U108" s="2"/>
      <c r="V108" s="2"/>
      <c r="W108" s="9"/>
      <c r="X108" s="2"/>
      <c r="Y108" s="12"/>
      <c r="Z108" s="12"/>
      <c r="AA108" s="2" t="str">
        <f ca="1">Messy_Data!AA108</f>
        <v>OK</v>
      </c>
    </row>
    <row r="109" spans="1:27" x14ac:dyDescent="0.3">
      <c r="A109" s="2" t="str">
        <f>Messy_Data!B109</f>
        <v>EMP108</v>
      </c>
      <c r="B109" s="2" t="str">
        <f>Messy_Data!D109</f>
        <v>Rahul</v>
      </c>
      <c r="C109" s="2" t="str">
        <f>Messy_Data!F109</f>
        <v>HR</v>
      </c>
      <c r="D109" s="3">
        <f>Messy_Data!H109</f>
        <v>43770</v>
      </c>
      <c r="E109" s="3">
        <f ca="1">Messy_Data!J109</f>
        <v>44549</v>
      </c>
      <c r="F109" s="2">
        <f>Messy_Data!L109</f>
        <v>9174155927</v>
      </c>
      <c r="G109" s="2" t="str">
        <f>Messy_Data!N109</f>
        <v>sunita@company.com</v>
      </c>
      <c r="H109" s="12">
        <f>Messy_Data!O109</f>
        <v>86549</v>
      </c>
      <c r="I109" s="2" t="str">
        <f>Messy_Data!P109</f>
        <v>Above 80K</v>
      </c>
      <c r="J109" s="2"/>
      <c r="K109" s="2"/>
      <c r="L109" s="2"/>
      <c r="M109" s="2"/>
      <c r="N109" s="2"/>
      <c r="O109" s="2" t="str">
        <f>Messy_Data!S109</f>
        <v>M16</v>
      </c>
      <c r="P109" s="2" t="str">
        <f>Messy_Data!U109</f>
        <v>ACTIVE</v>
      </c>
      <c r="Q109" s="2">
        <f ca="1">Messy_Data!V109</f>
        <v>779</v>
      </c>
      <c r="R109" s="2">
        <f ca="1">Messy_Data!W109</f>
        <v>25</v>
      </c>
      <c r="S109" s="2">
        <f ca="1">Messy_Data!X109</f>
        <v>2</v>
      </c>
      <c r="T109" s="2"/>
      <c r="U109" s="2"/>
      <c r="V109" s="2"/>
      <c r="W109" s="9"/>
      <c r="X109" s="2"/>
      <c r="Y109" s="12"/>
      <c r="Z109" s="12"/>
      <c r="AA109" s="2" t="str">
        <f ca="1">Messy_Data!AA109</f>
        <v>OK</v>
      </c>
    </row>
    <row r="110" spans="1:27" x14ac:dyDescent="0.3">
      <c r="A110" s="2" t="str">
        <f>Messy_Data!B110</f>
        <v>EMP109</v>
      </c>
      <c r="B110" s="2" t="str">
        <f>Messy_Data!D110</f>
        <v>Neha</v>
      </c>
      <c r="C110" s="2" t="str">
        <f>Messy_Data!F110</f>
        <v>FINANCE</v>
      </c>
      <c r="D110" s="3">
        <f>Messy_Data!H110</f>
        <v>44319</v>
      </c>
      <c r="E110" s="3">
        <f ca="1">Messy_Data!J110</f>
        <v>44980</v>
      </c>
      <c r="F110" s="2">
        <f>Messy_Data!L110</f>
        <v>9565128712</v>
      </c>
      <c r="G110" s="2" t="str">
        <f>Messy_Data!N110</f>
        <v>ankit@company.com</v>
      </c>
      <c r="H110" s="12">
        <f>Messy_Data!O110</f>
        <v>74598</v>
      </c>
      <c r="I110" s="2" t="str">
        <f>Messy_Data!P110</f>
        <v>60K-80K</v>
      </c>
      <c r="J110" s="2"/>
      <c r="K110" s="2"/>
      <c r="L110" s="2"/>
      <c r="M110" s="2"/>
      <c r="N110" s="2"/>
      <c r="O110" s="2" t="str">
        <f>Messy_Data!S110</f>
        <v>M13</v>
      </c>
      <c r="P110" s="2" t="str">
        <f>Messy_Data!U110</f>
        <v>ON HOLD</v>
      </c>
      <c r="Q110" s="2">
        <f ca="1">Messy_Data!V110</f>
        <v>661</v>
      </c>
      <c r="R110" s="2">
        <f ca="1">Messy_Data!W110</f>
        <v>21</v>
      </c>
      <c r="S110" s="2">
        <f ca="1">Messy_Data!X110</f>
        <v>1</v>
      </c>
      <c r="T110" s="2"/>
      <c r="U110" s="2"/>
      <c r="V110" s="2"/>
      <c r="W110" s="9"/>
      <c r="X110" s="2"/>
      <c r="Y110" s="12"/>
      <c r="Z110" s="12"/>
      <c r="AA110" s="2" t="str">
        <f ca="1">Messy_Data!AA110</f>
        <v>OK</v>
      </c>
    </row>
    <row r="111" spans="1:27" x14ac:dyDescent="0.3">
      <c r="A111" s="2" t="str">
        <f>Messy_Data!B111</f>
        <v>EMP110</v>
      </c>
      <c r="B111" s="2" t="str">
        <f>Messy_Data!D111</f>
        <v>Sunita</v>
      </c>
      <c r="C111" s="2" t="str">
        <f>Messy_Data!F111</f>
        <v>FINANCE</v>
      </c>
      <c r="D111" s="3">
        <f>Messy_Data!H111</f>
        <v>44672</v>
      </c>
      <c r="E111" s="3">
        <f ca="1">Messy_Data!J111</f>
        <v>45095</v>
      </c>
      <c r="F111" s="2">
        <f>Messy_Data!L111</f>
        <v>9910851763</v>
      </c>
      <c r="G111" s="2" t="str">
        <f>Messy_Data!N111</f>
        <v>ankit@company.com</v>
      </c>
      <c r="H111" s="12">
        <f>Messy_Data!O111</f>
        <v>85230</v>
      </c>
      <c r="I111" s="2" t="str">
        <f>Messy_Data!P111</f>
        <v>Above 80K</v>
      </c>
      <c r="J111" s="2"/>
      <c r="K111" s="2"/>
      <c r="L111" s="2"/>
      <c r="M111" s="2"/>
      <c r="N111" s="2"/>
      <c r="O111" s="2" t="str">
        <f>Messy_Data!S111</f>
        <v>M22</v>
      </c>
      <c r="P111" s="2" t="str">
        <f>Messy_Data!U111</f>
        <v>RESIGNED</v>
      </c>
      <c r="Q111" s="2">
        <f ca="1">Messy_Data!V111</f>
        <v>423</v>
      </c>
      <c r="R111" s="2">
        <f ca="1">Messy_Data!W111</f>
        <v>13</v>
      </c>
      <c r="S111" s="2">
        <f ca="1">Messy_Data!X111</f>
        <v>1</v>
      </c>
      <c r="T111" s="2"/>
      <c r="U111" s="2"/>
      <c r="V111" s="2"/>
      <c r="W111" s="9"/>
      <c r="X111" s="2"/>
      <c r="Y111" s="12"/>
      <c r="Z111" s="12"/>
      <c r="AA111" s="2" t="str">
        <f ca="1">Messy_Data!AA111</f>
        <v>CHECK</v>
      </c>
    </row>
    <row r="112" spans="1:27" x14ac:dyDescent="0.3">
      <c r="A112" s="2" t="str">
        <f>Messy_Data!B112</f>
        <v>EMP111</v>
      </c>
      <c r="B112" s="2" t="str">
        <f>Messy_Data!D112</f>
        <v>Pooja</v>
      </c>
      <c r="C112" s="2" t="str">
        <f>Messy_Data!F112</f>
        <v>IT</v>
      </c>
      <c r="D112" s="3">
        <f>Messy_Data!H112</f>
        <v>43913</v>
      </c>
      <c r="E112" s="3">
        <f ca="1">Messy_Data!J112</f>
        <v>45103</v>
      </c>
      <c r="F112" s="2">
        <f>Messy_Data!L112</f>
        <v>9991067028</v>
      </c>
      <c r="G112" s="2" t="str">
        <f>Messy_Data!N112</f>
        <v>pooja@company.com</v>
      </c>
      <c r="H112" s="12">
        <f>Messy_Data!O112</f>
        <v>71035</v>
      </c>
      <c r="I112" s="2" t="str">
        <f>Messy_Data!P112</f>
        <v>60K-80K</v>
      </c>
      <c r="J112" s="2"/>
      <c r="K112" s="2"/>
      <c r="L112" s="2"/>
      <c r="M112" s="2"/>
      <c r="N112" s="2"/>
      <c r="O112" s="2" t="str">
        <f>Messy_Data!S112</f>
        <v>M9</v>
      </c>
      <c r="P112" s="2" t="str">
        <f>Messy_Data!U112</f>
        <v>ACTIVE</v>
      </c>
      <c r="Q112" s="2">
        <f ca="1">Messy_Data!V112</f>
        <v>1190</v>
      </c>
      <c r="R112" s="2">
        <f ca="1">Messy_Data!W112</f>
        <v>39</v>
      </c>
      <c r="S112" s="2">
        <f ca="1">Messy_Data!X112</f>
        <v>3</v>
      </c>
      <c r="T112" s="2"/>
      <c r="U112" s="2"/>
      <c r="V112" s="2"/>
      <c r="W112" s="9"/>
      <c r="X112" s="2"/>
      <c r="Y112" s="12"/>
      <c r="Z112" s="12"/>
      <c r="AA112" s="2" t="str">
        <f ca="1">Messy_Data!AA112</f>
        <v>OK</v>
      </c>
    </row>
    <row r="113" spans="1:27" x14ac:dyDescent="0.3">
      <c r="A113" s="2" t="str">
        <f>Messy_Data!B113</f>
        <v>EMP112</v>
      </c>
      <c r="B113" s="2" t="str">
        <f>Messy_Data!D113</f>
        <v>Neha</v>
      </c>
      <c r="C113" s="2" t="str">
        <f>Messy_Data!F113</f>
        <v>FINANCE</v>
      </c>
      <c r="D113" s="3">
        <f>Messy_Data!H113</f>
        <v>44534</v>
      </c>
      <c r="E113" s="3">
        <f ca="1">Messy_Data!J113</f>
        <v>46024</v>
      </c>
      <c r="F113" s="2">
        <f>Messy_Data!L113</f>
        <v>9573704782</v>
      </c>
      <c r="G113" s="2" t="str">
        <f>Messy_Data!N113</f>
        <v>kiran@gmail.com</v>
      </c>
      <c r="H113" s="12">
        <f>Messy_Data!O113</f>
        <v>62508</v>
      </c>
      <c r="I113" s="2" t="str">
        <f>Messy_Data!P113</f>
        <v>60K-80K</v>
      </c>
      <c r="J113" s="2"/>
      <c r="K113" s="2"/>
      <c r="L113" s="2"/>
      <c r="M113" s="2"/>
      <c r="N113" s="2"/>
      <c r="O113" s="2" t="str">
        <f>Messy_Data!S113</f>
        <v>M1</v>
      </c>
      <c r="P113" s="2" t="str">
        <f>Messy_Data!U113</f>
        <v>RESIGNED</v>
      </c>
      <c r="Q113" s="2">
        <f ca="1">Messy_Data!V113</f>
        <v>1490</v>
      </c>
      <c r="R113" s="2">
        <f ca="1">Messy_Data!W113</f>
        <v>48</v>
      </c>
      <c r="S113" s="2">
        <f ca="1">Messy_Data!X113</f>
        <v>4</v>
      </c>
      <c r="T113" s="2"/>
      <c r="U113" s="2"/>
      <c r="V113" s="2"/>
      <c r="W113" s="9"/>
      <c r="X113" s="2"/>
      <c r="Y113" s="12"/>
      <c r="Z113" s="12"/>
      <c r="AA113" s="2" t="str">
        <f ca="1">Messy_Data!AA113</f>
        <v>OK</v>
      </c>
    </row>
    <row r="114" spans="1:27" x14ac:dyDescent="0.3">
      <c r="A114" s="2" t="str">
        <f>Messy_Data!B114</f>
        <v>EMP113</v>
      </c>
      <c r="B114" s="2" t="str">
        <f>Messy_Data!D114</f>
        <v>Ravi</v>
      </c>
      <c r="C114" s="2" t="str">
        <f>Messy_Data!F114</f>
        <v>SALES</v>
      </c>
      <c r="D114" s="3">
        <f>Messy_Data!H114</f>
        <v>43749</v>
      </c>
      <c r="E114" s="3">
        <f ca="1">Messy_Data!J114</f>
        <v>44415</v>
      </c>
      <c r="F114" s="2">
        <f>Messy_Data!L114</f>
        <v>9134957314</v>
      </c>
      <c r="G114" s="2" t="str">
        <f>Messy_Data!N114</f>
        <v>kiran@company.com</v>
      </c>
      <c r="H114" s="12">
        <f>Messy_Data!O114</f>
        <v>61516</v>
      </c>
      <c r="I114" s="2" t="str">
        <f>Messy_Data!P114</f>
        <v>60K-80K</v>
      </c>
      <c r="J114" s="2"/>
      <c r="K114" s="2"/>
      <c r="L114" s="2"/>
      <c r="M114" s="2"/>
      <c r="N114" s="2"/>
      <c r="O114" s="2" t="str">
        <f>Messy_Data!S114</f>
        <v>M22</v>
      </c>
      <c r="P114" s="2" t="str">
        <f>Messy_Data!U114</f>
        <v>ON HOLD</v>
      </c>
      <c r="Q114" s="2">
        <f ca="1">Messy_Data!V114</f>
        <v>666</v>
      </c>
      <c r="R114" s="2">
        <f ca="1">Messy_Data!W114</f>
        <v>21</v>
      </c>
      <c r="S114" s="2">
        <f ca="1">Messy_Data!X114</f>
        <v>1</v>
      </c>
      <c r="T114" s="2"/>
      <c r="U114" s="2"/>
      <c r="V114" s="2"/>
      <c r="W114" s="9"/>
      <c r="X114" s="2"/>
      <c r="Y114" s="12"/>
      <c r="Z114" s="12"/>
      <c r="AA114" s="2" t="str">
        <f ca="1">Messy_Data!AA114</f>
        <v>OK</v>
      </c>
    </row>
    <row r="115" spans="1:27" x14ac:dyDescent="0.3">
      <c r="A115" s="2" t="str">
        <f>Messy_Data!B115</f>
        <v>EMP114</v>
      </c>
      <c r="B115" s="2" t="str">
        <f>Messy_Data!D115</f>
        <v>Pooja</v>
      </c>
      <c r="C115" s="2" t="str">
        <f>Messy_Data!F115</f>
        <v>FINANCE</v>
      </c>
      <c r="D115" s="3">
        <f>Messy_Data!H115</f>
        <v>43588</v>
      </c>
      <c r="E115" s="3">
        <f ca="1">Messy_Data!J115</f>
        <v>44163</v>
      </c>
      <c r="F115" s="2">
        <f>Messy_Data!L115</f>
        <v>9109308485</v>
      </c>
      <c r="G115" s="2" t="str">
        <f>Messy_Data!N115</f>
        <v>amit@company.com</v>
      </c>
      <c r="H115" s="12">
        <f>Messy_Data!O115</f>
        <v>70616</v>
      </c>
      <c r="I115" s="2" t="str">
        <f>Messy_Data!P115</f>
        <v>60K-80K</v>
      </c>
      <c r="J115" s="2"/>
      <c r="K115" s="2"/>
      <c r="L115" s="2"/>
      <c r="M115" s="2"/>
      <c r="N115" s="2"/>
      <c r="O115" s="2" t="str">
        <f>Messy_Data!S115</f>
        <v>M1</v>
      </c>
      <c r="P115" s="2" t="str">
        <f>Messy_Data!U115</f>
        <v>ON HOLD</v>
      </c>
      <c r="Q115" s="2">
        <f ca="1">Messy_Data!V115</f>
        <v>575</v>
      </c>
      <c r="R115" s="2">
        <f ca="1">Messy_Data!W115</f>
        <v>18</v>
      </c>
      <c r="S115" s="2">
        <f ca="1">Messy_Data!X115</f>
        <v>1</v>
      </c>
      <c r="T115" s="2"/>
      <c r="U115" s="2"/>
      <c r="V115" s="2"/>
      <c r="W115" s="9"/>
      <c r="X115" s="2"/>
      <c r="Y115" s="12"/>
      <c r="Z115" s="12"/>
      <c r="AA115" s="2" t="str">
        <f ca="1">Messy_Data!AA115</f>
        <v>OK</v>
      </c>
    </row>
    <row r="116" spans="1:27" x14ac:dyDescent="0.3">
      <c r="A116" s="2" t="str">
        <f>Messy_Data!B116</f>
        <v>EMP115</v>
      </c>
      <c r="B116" s="2" t="str">
        <f>Messy_Data!D116</f>
        <v>Pooja</v>
      </c>
      <c r="C116" s="2" t="str">
        <f>Messy_Data!F116</f>
        <v>HR</v>
      </c>
      <c r="D116" s="3">
        <f>Messy_Data!H116</f>
        <v>43697</v>
      </c>
      <c r="E116" s="3">
        <f ca="1">Messy_Data!J116</f>
        <v>43956</v>
      </c>
      <c r="F116" s="2">
        <f>Messy_Data!L116</f>
        <v>9362757463</v>
      </c>
      <c r="G116" s="2" t="str">
        <f>Messy_Data!N116</f>
        <v>sunita@company.com</v>
      </c>
      <c r="H116" s="12">
        <f>Messy_Data!O116</f>
        <v>55848</v>
      </c>
      <c r="I116" s="2" t="str">
        <f>Messy_Data!P116</f>
        <v>40K-60K</v>
      </c>
      <c r="J116" s="2"/>
      <c r="K116" s="2"/>
      <c r="L116" s="2"/>
      <c r="M116" s="2"/>
      <c r="N116" s="2"/>
      <c r="O116" s="2" t="str">
        <f>Messy_Data!S116</f>
        <v>M14</v>
      </c>
      <c r="P116" s="2" t="str">
        <f>Messy_Data!U116</f>
        <v>ACTIVE</v>
      </c>
      <c r="Q116" s="2">
        <f ca="1">Messy_Data!V116</f>
        <v>259</v>
      </c>
      <c r="R116" s="2">
        <f ca="1">Messy_Data!W116</f>
        <v>8</v>
      </c>
      <c r="S116" s="2">
        <f ca="1">Messy_Data!X116</f>
        <v>0</v>
      </c>
      <c r="T116" s="2"/>
      <c r="U116" s="2"/>
      <c r="V116" s="2"/>
      <c r="W116" s="9"/>
      <c r="X116" s="2"/>
      <c r="Y116" s="12"/>
      <c r="Z116" s="12"/>
      <c r="AA116" s="2" t="str">
        <f ca="1">Messy_Data!AA116</f>
        <v>OK</v>
      </c>
    </row>
    <row r="117" spans="1:27" x14ac:dyDescent="0.3">
      <c r="A117" s="2" t="str">
        <f>Messy_Data!B117</f>
        <v>EMP116</v>
      </c>
      <c r="B117" s="2" t="str">
        <f>Messy_Data!D117</f>
        <v>Suresh</v>
      </c>
      <c r="C117" s="2" t="str">
        <f>Messy_Data!F117</f>
        <v>FINANCE</v>
      </c>
      <c r="D117" s="3">
        <f>Messy_Data!H117</f>
        <v>44061</v>
      </c>
      <c r="E117" s="3">
        <f ca="1">Messy_Data!J117</f>
        <v>44739</v>
      </c>
      <c r="F117" s="2">
        <f>Messy_Data!L117</f>
        <v>9899902911</v>
      </c>
      <c r="G117" s="2" t="str">
        <f>Messy_Data!N117</f>
        <v>suresh@company.com</v>
      </c>
      <c r="H117" s="12">
        <f>Messy_Data!O117</f>
        <v>22040</v>
      </c>
      <c r="I117" s="2" t="str">
        <f>Messy_Data!P117</f>
        <v>20K-40K</v>
      </c>
      <c r="J117" s="2"/>
      <c r="K117" s="2"/>
      <c r="L117" s="2"/>
      <c r="M117" s="2"/>
      <c r="N117" s="2"/>
      <c r="O117" s="2" t="str">
        <f>Messy_Data!S117</f>
        <v>M1</v>
      </c>
      <c r="P117" s="2" t="str">
        <f>Messy_Data!U117</f>
        <v>ACTIVE</v>
      </c>
      <c r="Q117" s="2">
        <f ca="1">Messy_Data!V117</f>
        <v>678</v>
      </c>
      <c r="R117" s="2">
        <f ca="1">Messy_Data!W117</f>
        <v>22</v>
      </c>
      <c r="S117" s="2">
        <f ca="1">Messy_Data!X117</f>
        <v>1</v>
      </c>
      <c r="T117" s="2"/>
      <c r="U117" s="2"/>
      <c r="V117" s="2"/>
      <c r="W117" s="9"/>
      <c r="X117" s="2"/>
      <c r="Y117" s="12"/>
      <c r="Z117" s="12"/>
      <c r="AA117" s="2" t="str">
        <f ca="1">Messy_Data!AA117</f>
        <v>OK</v>
      </c>
    </row>
    <row r="118" spans="1:27" x14ac:dyDescent="0.3">
      <c r="A118" s="2" t="str">
        <f>Messy_Data!B118</f>
        <v>EMP117</v>
      </c>
      <c r="B118" s="2" t="str">
        <f>Messy_Data!D118</f>
        <v>Vikas</v>
      </c>
      <c r="C118" s="2" t="str">
        <f>Messy_Data!F118</f>
        <v>SALES</v>
      </c>
      <c r="D118" s="3">
        <f>Messy_Data!H118</f>
        <v>44565</v>
      </c>
      <c r="E118" s="3">
        <f ca="1">Messy_Data!J118</f>
        <v>45713</v>
      </c>
      <c r="F118" s="2">
        <f>Messy_Data!L118</f>
        <v>9911403067</v>
      </c>
      <c r="G118" s="2" t="str">
        <f>Messy_Data!N118</f>
        <v>rahul@company.com</v>
      </c>
      <c r="H118" s="12">
        <f>Messy_Data!O118</f>
        <v>43259</v>
      </c>
      <c r="I118" s="2" t="str">
        <f>Messy_Data!P118</f>
        <v>40K-60K</v>
      </c>
      <c r="J118" s="2"/>
      <c r="K118" s="2"/>
      <c r="L118" s="2"/>
      <c r="M118" s="2"/>
      <c r="N118" s="2"/>
      <c r="O118" s="2" t="str">
        <f>Messy_Data!S118</f>
        <v>M15</v>
      </c>
      <c r="P118" s="2" t="str">
        <f>Messy_Data!U118</f>
        <v>ON HOLD</v>
      </c>
      <c r="Q118" s="2">
        <f ca="1">Messy_Data!V118</f>
        <v>1148</v>
      </c>
      <c r="R118" s="2">
        <f ca="1">Messy_Data!W118</f>
        <v>37</v>
      </c>
      <c r="S118" s="2">
        <f ca="1">Messy_Data!X118</f>
        <v>3</v>
      </c>
      <c r="T118" s="2"/>
      <c r="U118" s="2"/>
      <c r="V118" s="2"/>
      <c r="W118" s="9"/>
      <c r="X118" s="2"/>
      <c r="Y118" s="12"/>
      <c r="Z118" s="12"/>
      <c r="AA118" s="2" t="str">
        <f ca="1">Messy_Data!AA118</f>
        <v>OK</v>
      </c>
    </row>
    <row r="119" spans="1:27" x14ac:dyDescent="0.3">
      <c r="A119" s="2" t="str">
        <f>Messy_Data!B119</f>
        <v>EMP118</v>
      </c>
      <c r="B119" s="2" t="str">
        <f>Messy_Data!D119</f>
        <v>Neha</v>
      </c>
      <c r="C119" s="2" t="str">
        <f>Messy_Data!F119</f>
        <v>SALES</v>
      </c>
      <c r="D119" s="3">
        <f>Messy_Data!H119</f>
        <v>43940</v>
      </c>
      <c r="E119" s="3">
        <f ca="1">Messy_Data!J119</f>
        <v>44529</v>
      </c>
      <c r="F119" s="2">
        <f>Messy_Data!L119</f>
        <v>9365323178</v>
      </c>
      <c r="G119" s="2" t="str">
        <f>Messy_Data!N119</f>
        <v>neha@company.com</v>
      </c>
      <c r="H119" s="12">
        <f>Messy_Data!O119</f>
        <v>30289</v>
      </c>
      <c r="I119" s="2" t="str">
        <f>Messy_Data!P119</f>
        <v>20K-40K</v>
      </c>
      <c r="J119" s="2"/>
      <c r="K119" s="2"/>
      <c r="L119" s="2"/>
      <c r="M119" s="2"/>
      <c r="N119" s="2"/>
      <c r="O119" s="2" t="str">
        <f>Messy_Data!S119</f>
        <v>M20</v>
      </c>
      <c r="P119" s="2" t="str">
        <f>Messy_Data!U119</f>
        <v>ON HOLD</v>
      </c>
      <c r="Q119" s="2">
        <f ca="1">Messy_Data!V119</f>
        <v>589</v>
      </c>
      <c r="R119" s="2">
        <f ca="1">Messy_Data!W119</f>
        <v>19</v>
      </c>
      <c r="S119" s="2">
        <f ca="1">Messy_Data!X119</f>
        <v>1</v>
      </c>
      <c r="T119" s="2"/>
      <c r="U119" s="2"/>
      <c r="V119" s="2"/>
      <c r="W119" s="9"/>
      <c r="X119" s="2"/>
      <c r="Y119" s="12"/>
      <c r="Z119" s="12"/>
      <c r="AA119" s="2" t="str">
        <f ca="1">Messy_Data!AA119</f>
        <v>OK</v>
      </c>
    </row>
    <row r="120" spans="1:27" x14ac:dyDescent="0.3">
      <c r="A120" s="2" t="str">
        <f>Messy_Data!B120</f>
        <v>EMP119</v>
      </c>
      <c r="B120" s="2" t="str">
        <f>Messy_Data!D120</f>
        <v>Sunita</v>
      </c>
      <c r="C120" s="2" t="str">
        <f>Messy_Data!F120</f>
        <v>SALES</v>
      </c>
      <c r="D120" s="3">
        <f>Messy_Data!H120</f>
        <v>44697</v>
      </c>
      <c r="E120" s="3">
        <f ca="1">Messy_Data!J120</f>
        <v>46024</v>
      </c>
      <c r="F120" s="2">
        <f>Messy_Data!L120</f>
        <v>9837136189</v>
      </c>
      <c r="G120" s="2" t="str">
        <f>Messy_Data!N120</f>
        <v>pooja@company.com</v>
      </c>
      <c r="H120" s="12">
        <f>Messy_Data!O120</f>
        <v>81472</v>
      </c>
      <c r="I120" s="2" t="str">
        <f>Messy_Data!P120</f>
        <v>Above 80K</v>
      </c>
      <c r="J120" s="2"/>
      <c r="K120" s="2"/>
      <c r="L120" s="2"/>
      <c r="M120" s="2"/>
      <c r="N120" s="2"/>
      <c r="O120" s="2" t="str">
        <f>Messy_Data!S120</f>
        <v>M4</v>
      </c>
      <c r="P120" s="2" t="str">
        <f>Messy_Data!U120</f>
        <v>ACTIVE</v>
      </c>
      <c r="Q120" s="2">
        <f ca="1">Messy_Data!V120</f>
        <v>1327</v>
      </c>
      <c r="R120" s="2">
        <f ca="1">Messy_Data!W120</f>
        <v>43</v>
      </c>
      <c r="S120" s="2">
        <f ca="1">Messy_Data!X120</f>
        <v>3</v>
      </c>
      <c r="T120" s="2"/>
      <c r="U120" s="2"/>
      <c r="V120" s="2"/>
      <c r="W120" s="9"/>
      <c r="X120" s="2"/>
      <c r="Y120" s="12"/>
      <c r="Z120" s="12"/>
      <c r="AA120" s="2" t="str">
        <f ca="1">Messy_Data!AA120</f>
        <v>OK</v>
      </c>
    </row>
    <row r="121" spans="1:27" x14ac:dyDescent="0.3">
      <c r="A121" s="2" t="str">
        <f>Messy_Data!B121</f>
        <v>EMP120</v>
      </c>
      <c r="B121" s="2" t="str">
        <f>Messy_Data!D121</f>
        <v>Ankit</v>
      </c>
      <c r="C121" s="2" t="str">
        <f>Messy_Data!F121</f>
        <v>SALES</v>
      </c>
      <c r="D121" s="3">
        <f>Messy_Data!H121</f>
        <v>44783</v>
      </c>
      <c r="E121" s="3">
        <f ca="1">Messy_Data!J121</f>
        <v>46135</v>
      </c>
      <c r="F121" s="2">
        <f>Messy_Data!L121</f>
        <v>9722352802</v>
      </c>
      <c r="G121" s="2" t="str">
        <f>Messy_Data!N121</f>
        <v>ravi@gmail.com</v>
      </c>
      <c r="H121" s="12">
        <f>Messy_Data!O121</f>
        <v>75697</v>
      </c>
      <c r="I121" s="2" t="str">
        <f>Messy_Data!P121</f>
        <v>60K-80K</v>
      </c>
      <c r="J121" s="2"/>
      <c r="K121" s="2"/>
      <c r="L121" s="2"/>
      <c r="M121" s="2"/>
      <c r="N121" s="2"/>
      <c r="O121" s="2" t="str">
        <f>Messy_Data!S121</f>
        <v>M6</v>
      </c>
      <c r="P121" s="2" t="str">
        <f>Messy_Data!U121</f>
        <v>RESIGNED</v>
      </c>
      <c r="Q121" s="2">
        <f ca="1">Messy_Data!V121</f>
        <v>1352</v>
      </c>
      <c r="R121" s="2">
        <f ca="1">Messy_Data!W121</f>
        <v>44</v>
      </c>
      <c r="S121" s="2">
        <f ca="1">Messy_Data!X121</f>
        <v>3</v>
      </c>
      <c r="T121" s="2"/>
      <c r="U121" s="2"/>
      <c r="V121" s="2"/>
      <c r="W121" s="9"/>
      <c r="X121" s="2"/>
      <c r="Y121" s="12"/>
      <c r="Z121" s="12"/>
      <c r="AA121" s="2" t="str">
        <f ca="1">Messy_Data!AA121</f>
        <v>OK</v>
      </c>
    </row>
    <row r="122" spans="1:27" x14ac:dyDescent="0.3">
      <c r="A122" s="2" t="str">
        <f>Messy_Data!B122</f>
        <v>EMP121</v>
      </c>
      <c r="B122" s="2" t="str">
        <f>Messy_Data!D122</f>
        <v>Vikas</v>
      </c>
      <c r="C122" s="2" t="str">
        <f>Messy_Data!F122</f>
        <v>SALES</v>
      </c>
      <c r="D122" s="3">
        <f>Messy_Data!H122</f>
        <v>43529</v>
      </c>
      <c r="E122" s="3">
        <f ca="1">Messy_Data!J122</f>
        <v>44011</v>
      </c>
      <c r="F122" s="2">
        <f>Messy_Data!L122</f>
        <v>9890543949</v>
      </c>
      <c r="G122" s="2" t="str">
        <f>Messy_Data!N122</f>
        <v>pooja@company.com</v>
      </c>
      <c r="H122" s="12">
        <f>Messy_Data!O122</f>
        <v>29219</v>
      </c>
      <c r="I122" s="2" t="str">
        <f>Messy_Data!P122</f>
        <v>20K-40K</v>
      </c>
      <c r="J122" s="2"/>
      <c r="K122" s="2"/>
      <c r="L122" s="2"/>
      <c r="M122" s="2"/>
      <c r="N122" s="2"/>
      <c r="O122" s="2" t="str">
        <f>Messy_Data!S122</f>
        <v>M10</v>
      </c>
      <c r="P122" s="2" t="str">
        <f>Messy_Data!U122</f>
        <v>RESIGNED</v>
      </c>
      <c r="Q122" s="2">
        <f ca="1">Messy_Data!V122</f>
        <v>482</v>
      </c>
      <c r="R122" s="2">
        <f ca="1">Messy_Data!W122</f>
        <v>15</v>
      </c>
      <c r="S122" s="2">
        <f ca="1">Messy_Data!X122</f>
        <v>1</v>
      </c>
      <c r="T122" s="2"/>
      <c r="U122" s="2"/>
      <c r="V122" s="2"/>
      <c r="W122" s="9"/>
      <c r="X122" s="2"/>
      <c r="Y122" s="12"/>
      <c r="Z122" s="12"/>
      <c r="AA122" s="2" t="str">
        <f ca="1">Messy_Data!AA122</f>
        <v>OK</v>
      </c>
    </row>
    <row r="123" spans="1:27" x14ac:dyDescent="0.3">
      <c r="A123" s="2" t="str">
        <f>Messy_Data!B123</f>
        <v>EMP122</v>
      </c>
      <c r="B123" s="2" t="str">
        <f>Messy_Data!D123</f>
        <v>Kiran</v>
      </c>
      <c r="C123" s="2" t="str">
        <f>Messy_Data!F123</f>
        <v>IT</v>
      </c>
      <c r="D123" s="3">
        <f>Messy_Data!H123</f>
        <v>44059</v>
      </c>
      <c r="E123" s="3">
        <f ca="1">Messy_Data!J123</f>
        <v>44164</v>
      </c>
      <c r="F123" s="2">
        <f>Messy_Data!L123</f>
        <v>9988898245</v>
      </c>
      <c r="G123" s="2" t="str">
        <f>Messy_Data!N123</f>
        <v>pooja@company.com</v>
      </c>
      <c r="H123" s="12">
        <f>Messy_Data!O123</f>
        <v>32126</v>
      </c>
      <c r="I123" s="2" t="str">
        <f>Messy_Data!P123</f>
        <v>20K-40K</v>
      </c>
      <c r="J123" s="2"/>
      <c r="K123" s="2"/>
      <c r="L123" s="2"/>
      <c r="M123" s="2"/>
      <c r="N123" s="2"/>
      <c r="O123" s="2" t="str">
        <f>Messy_Data!S123</f>
        <v>M11</v>
      </c>
      <c r="P123" s="2" t="str">
        <f>Messy_Data!U123</f>
        <v>ACTIVE</v>
      </c>
      <c r="Q123" s="2">
        <f ca="1">Messy_Data!V123</f>
        <v>105</v>
      </c>
      <c r="R123" s="2">
        <f ca="1">Messy_Data!W123</f>
        <v>3</v>
      </c>
      <c r="S123" s="2">
        <f ca="1">Messy_Data!X123</f>
        <v>0</v>
      </c>
      <c r="T123" s="2"/>
      <c r="U123" s="2"/>
      <c r="V123" s="2"/>
      <c r="W123" s="9"/>
      <c r="X123" s="2"/>
      <c r="Y123" s="12"/>
      <c r="Z123" s="12"/>
      <c r="AA123" s="2" t="str">
        <f ca="1">Messy_Data!AA123</f>
        <v>OK</v>
      </c>
    </row>
    <row r="124" spans="1:27" x14ac:dyDescent="0.3">
      <c r="A124" s="2" t="str">
        <f>Messy_Data!B124</f>
        <v>EMP123</v>
      </c>
      <c r="B124" s="2" t="str">
        <f>Messy_Data!D124</f>
        <v>Sunita</v>
      </c>
      <c r="C124" s="2" t="str">
        <f>Messy_Data!F124</f>
        <v>IT</v>
      </c>
      <c r="D124" s="3">
        <f>Messy_Data!H124</f>
        <v>45162</v>
      </c>
      <c r="E124" s="3">
        <f ca="1">Messy_Data!J124</f>
        <v>46412</v>
      </c>
      <c r="F124" s="2">
        <f>Messy_Data!L124</f>
        <v>9776759070</v>
      </c>
      <c r="G124" s="2" t="str">
        <f>Messy_Data!N124</f>
        <v>ravi@company.com</v>
      </c>
      <c r="H124" s="12">
        <f>Messy_Data!O124</f>
        <v>94569</v>
      </c>
      <c r="I124" s="2" t="str">
        <f>Messy_Data!P124</f>
        <v>Above 80K</v>
      </c>
      <c r="J124" s="2"/>
      <c r="K124" s="2"/>
      <c r="L124" s="2"/>
      <c r="M124" s="2"/>
      <c r="N124" s="2"/>
      <c r="O124" s="2" t="str">
        <f>Messy_Data!S124</f>
        <v>M12</v>
      </c>
      <c r="P124" s="2" t="str">
        <f>Messy_Data!U124</f>
        <v>RESIGNED</v>
      </c>
      <c r="Q124" s="2">
        <f ca="1">Messy_Data!V124</f>
        <v>1250</v>
      </c>
      <c r="R124" s="2">
        <f ca="1">Messy_Data!W124</f>
        <v>41</v>
      </c>
      <c r="S124" s="2">
        <f ca="1">Messy_Data!X124</f>
        <v>3</v>
      </c>
      <c r="T124" s="2"/>
      <c r="U124" s="2"/>
      <c r="V124" s="2"/>
      <c r="W124" s="9"/>
      <c r="X124" s="2"/>
      <c r="Y124" s="12"/>
      <c r="Z124" s="12"/>
      <c r="AA124" s="2" t="str">
        <f ca="1">Messy_Data!AA124</f>
        <v>OK</v>
      </c>
    </row>
    <row r="125" spans="1:27" x14ac:dyDescent="0.3">
      <c r="A125" s="2" t="str">
        <f>Messy_Data!B125</f>
        <v>EMP124</v>
      </c>
      <c r="B125" s="2" t="str">
        <f>Messy_Data!D125</f>
        <v>Rahul</v>
      </c>
      <c r="C125" s="2" t="str">
        <f>Messy_Data!F125</f>
        <v>HR</v>
      </c>
      <c r="D125" s="3">
        <f>Messy_Data!H125</f>
        <v>43675</v>
      </c>
      <c r="E125" s="3">
        <f ca="1">Messy_Data!J125</f>
        <v>44060</v>
      </c>
      <c r="F125" s="2">
        <f>Messy_Data!L125</f>
        <v>9270124250</v>
      </c>
      <c r="G125" s="2" t="str">
        <f>Messy_Data!N125</f>
        <v>amit@company.com</v>
      </c>
      <c r="H125" s="12">
        <f>Messy_Data!O125</f>
        <v>92437</v>
      </c>
      <c r="I125" s="2" t="str">
        <f>Messy_Data!P125</f>
        <v>Above 80K</v>
      </c>
      <c r="J125" s="2"/>
      <c r="K125" s="2"/>
      <c r="L125" s="2"/>
      <c r="M125" s="2"/>
      <c r="N125" s="2"/>
      <c r="O125" s="2" t="str">
        <f>Messy_Data!S125</f>
        <v>M15</v>
      </c>
      <c r="P125" s="2" t="str">
        <f>Messy_Data!U125</f>
        <v>RESIGNED</v>
      </c>
      <c r="Q125" s="2">
        <f ca="1">Messy_Data!V125</f>
        <v>385</v>
      </c>
      <c r="R125" s="2">
        <f ca="1">Messy_Data!W125</f>
        <v>12</v>
      </c>
      <c r="S125" s="2">
        <f ca="1">Messy_Data!X125</f>
        <v>1</v>
      </c>
      <c r="T125" s="2"/>
      <c r="U125" s="2"/>
      <c r="V125" s="2"/>
      <c r="W125" s="9"/>
      <c r="X125" s="2"/>
      <c r="Y125" s="12"/>
      <c r="Z125" s="12"/>
      <c r="AA125" s="2" t="str">
        <f ca="1">Messy_Data!AA125</f>
        <v>CHECK</v>
      </c>
    </row>
    <row r="126" spans="1:27" x14ac:dyDescent="0.3">
      <c r="A126" s="2" t="str">
        <f>Messy_Data!B126</f>
        <v>EMP125</v>
      </c>
      <c r="B126" s="2" t="str">
        <f>Messy_Data!D126</f>
        <v>Vikas</v>
      </c>
      <c r="C126" s="2" t="str">
        <f>Messy_Data!F126</f>
        <v>SALES</v>
      </c>
      <c r="D126" s="3">
        <f>Messy_Data!H126</f>
        <v>44757</v>
      </c>
      <c r="E126" s="3">
        <f ca="1">Messy_Data!J126</f>
        <v>46248</v>
      </c>
      <c r="F126" s="2">
        <f>Messy_Data!L126</f>
        <v>9243676089</v>
      </c>
      <c r="G126" s="2" t="str">
        <f>Messy_Data!N126</f>
        <v>ravi@company.com</v>
      </c>
      <c r="H126" s="12">
        <f>Messy_Data!O126</f>
        <v>71743</v>
      </c>
      <c r="I126" s="2" t="str">
        <f>Messy_Data!P126</f>
        <v>60K-80K</v>
      </c>
      <c r="J126" s="2"/>
      <c r="K126" s="2"/>
      <c r="L126" s="2"/>
      <c r="M126" s="2"/>
      <c r="N126" s="2"/>
      <c r="O126" s="2" t="str">
        <f>Messy_Data!S126</f>
        <v>M2</v>
      </c>
      <c r="P126" s="2" t="str">
        <f>Messy_Data!U126</f>
        <v>ACTIVE</v>
      </c>
      <c r="Q126" s="2">
        <f ca="1">Messy_Data!V126</f>
        <v>1491</v>
      </c>
      <c r="R126" s="2">
        <f ca="1">Messy_Data!W126</f>
        <v>48</v>
      </c>
      <c r="S126" s="2">
        <f ca="1">Messy_Data!X126</f>
        <v>4</v>
      </c>
      <c r="T126" s="2"/>
      <c r="U126" s="2"/>
      <c r="V126" s="2"/>
      <c r="W126" s="9"/>
      <c r="X126" s="2"/>
      <c r="Y126" s="12"/>
      <c r="Z126" s="12"/>
      <c r="AA126" s="2" t="str">
        <f ca="1">Messy_Data!AA126</f>
        <v>OK</v>
      </c>
    </row>
    <row r="127" spans="1:27" x14ac:dyDescent="0.3">
      <c r="A127" s="2" t="str">
        <f>Messy_Data!B127</f>
        <v>EMP126</v>
      </c>
      <c r="B127" s="2" t="str">
        <f>Messy_Data!D127</f>
        <v>Ravi</v>
      </c>
      <c r="C127" s="2" t="str">
        <f>Messy_Data!F127</f>
        <v>HR</v>
      </c>
      <c r="D127" s="3">
        <f>Messy_Data!H127</f>
        <v>43893</v>
      </c>
      <c r="E127" s="3">
        <f ca="1">Messy_Data!J127</f>
        <v>46024</v>
      </c>
      <c r="F127" s="2">
        <f>Messy_Data!L127</f>
        <v>9206351889</v>
      </c>
      <c r="G127" s="2" t="str">
        <f>Messy_Data!N127</f>
        <v>sunita@company.com</v>
      </c>
      <c r="H127" s="12">
        <f>Messy_Data!O127</f>
        <v>26117</v>
      </c>
      <c r="I127" s="2" t="str">
        <f>Messy_Data!P127</f>
        <v>20K-40K</v>
      </c>
      <c r="J127" s="2"/>
      <c r="K127" s="2"/>
      <c r="L127" s="2"/>
      <c r="M127" s="2"/>
      <c r="N127" s="2"/>
      <c r="O127" s="2" t="str">
        <f>Messy_Data!S127</f>
        <v>M5</v>
      </c>
      <c r="P127" s="2" t="str">
        <f>Messy_Data!U127</f>
        <v>ON HOLD</v>
      </c>
      <c r="Q127" s="2">
        <f ca="1">Messy_Data!V127</f>
        <v>2131</v>
      </c>
      <c r="R127" s="2">
        <f ca="1">Messy_Data!W127</f>
        <v>69</v>
      </c>
      <c r="S127" s="2">
        <f ca="1">Messy_Data!X127</f>
        <v>5</v>
      </c>
      <c r="T127" s="2"/>
      <c r="U127" s="2"/>
      <c r="V127" s="2"/>
      <c r="W127" s="9"/>
      <c r="X127" s="2"/>
      <c r="Y127" s="12"/>
      <c r="Z127" s="12"/>
      <c r="AA127" s="2" t="str">
        <f ca="1">Messy_Data!AA127</f>
        <v>OK</v>
      </c>
    </row>
    <row r="128" spans="1:27" x14ac:dyDescent="0.3">
      <c r="A128" s="2" t="str">
        <f>Messy_Data!B128</f>
        <v>EMP127</v>
      </c>
      <c r="B128" s="2" t="str">
        <f>Messy_Data!D128</f>
        <v>Suresh</v>
      </c>
      <c r="C128" s="2" t="str">
        <f>Messy_Data!F128</f>
        <v>IT</v>
      </c>
      <c r="D128" s="3">
        <f>Messy_Data!H128</f>
        <v>45180</v>
      </c>
      <c r="E128" s="3">
        <f ca="1">Messy_Data!J128</f>
        <v>45833</v>
      </c>
      <c r="F128" s="2">
        <f>Messy_Data!L128</f>
        <v>9109527119</v>
      </c>
      <c r="G128" s="2" t="str">
        <f>Messy_Data!N128</f>
        <v>sunita@company.com</v>
      </c>
      <c r="H128" s="12">
        <f>Messy_Data!O128</f>
        <v>12779</v>
      </c>
      <c r="I128" s="2" t="str">
        <f>Messy_Data!P128</f>
        <v>Below 20K</v>
      </c>
      <c r="J128" s="2"/>
      <c r="K128" s="2"/>
      <c r="L128" s="2"/>
      <c r="M128" s="2"/>
      <c r="N128" s="2"/>
      <c r="O128" s="2" t="str">
        <f>Messy_Data!S128</f>
        <v>M3</v>
      </c>
      <c r="P128" s="2" t="str">
        <f>Messy_Data!U128</f>
        <v>RESIGNED</v>
      </c>
      <c r="Q128" s="2">
        <f ca="1">Messy_Data!V128</f>
        <v>653</v>
      </c>
      <c r="R128" s="2">
        <f ca="1">Messy_Data!W128</f>
        <v>21</v>
      </c>
      <c r="S128" s="2">
        <f ca="1">Messy_Data!X128</f>
        <v>1</v>
      </c>
      <c r="T128" s="2"/>
      <c r="U128" s="2"/>
      <c r="V128" s="2"/>
      <c r="W128" s="9"/>
      <c r="X128" s="2"/>
      <c r="Y128" s="12"/>
      <c r="Z128" s="12"/>
      <c r="AA128" s="2" t="str">
        <f ca="1">Messy_Data!AA128</f>
        <v>OK</v>
      </c>
    </row>
    <row r="129" spans="1:27" x14ac:dyDescent="0.3">
      <c r="A129" s="2" t="str">
        <f>Messy_Data!B129</f>
        <v>EMP128</v>
      </c>
      <c r="B129" s="2" t="str">
        <f>Messy_Data!D129</f>
        <v>Neha</v>
      </c>
      <c r="C129" s="2" t="str">
        <f>Messy_Data!F129</f>
        <v>FINANCE</v>
      </c>
      <c r="D129" s="3">
        <f>Messy_Data!H129</f>
        <v>44616</v>
      </c>
      <c r="E129" s="3">
        <f ca="1">Messy_Data!J129</f>
        <v>45962</v>
      </c>
      <c r="F129" s="2">
        <f>Messy_Data!L129</f>
        <v>9218041954</v>
      </c>
      <c r="G129" s="2" t="str">
        <f>Messy_Data!N129</f>
        <v>kiran@gmail.com</v>
      </c>
      <c r="H129" s="12">
        <f>Messy_Data!O129</f>
        <v>77094</v>
      </c>
      <c r="I129" s="2" t="str">
        <f>Messy_Data!P129</f>
        <v>60K-80K</v>
      </c>
      <c r="J129" s="2"/>
      <c r="K129" s="2"/>
      <c r="L129" s="2"/>
      <c r="M129" s="2"/>
      <c r="N129" s="2"/>
      <c r="O129" s="2" t="str">
        <f>Messy_Data!S129</f>
        <v>M14</v>
      </c>
      <c r="P129" s="2" t="str">
        <f>Messy_Data!U129</f>
        <v>ACTIVE</v>
      </c>
      <c r="Q129" s="2">
        <f ca="1">Messy_Data!V129</f>
        <v>1346</v>
      </c>
      <c r="R129" s="2">
        <f ca="1">Messy_Data!W129</f>
        <v>44</v>
      </c>
      <c r="S129" s="2">
        <f ca="1">Messy_Data!X129</f>
        <v>3</v>
      </c>
      <c r="T129" s="2"/>
      <c r="U129" s="2"/>
      <c r="V129" s="2"/>
      <c r="W129" s="9"/>
      <c r="X129" s="2"/>
      <c r="Y129" s="12"/>
      <c r="Z129" s="12"/>
      <c r="AA129" s="2" t="str">
        <f ca="1">Messy_Data!AA129</f>
        <v>OK</v>
      </c>
    </row>
    <row r="130" spans="1:27" x14ac:dyDescent="0.3">
      <c r="A130" s="2" t="str">
        <f>Messy_Data!B130</f>
        <v>EMP129</v>
      </c>
      <c r="B130" s="2" t="str">
        <f>Messy_Data!D130</f>
        <v>Ravi</v>
      </c>
      <c r="C130" s="2" t="str">
        <f>Messy_Data!F130</f>
        <v>FINANCE</v>
      </c>
      <c r="D130" s="3">
        <f>Messy_Data!H130</f>
        <v>43667</v>
      </c>
      <c r="E130" s="3">
        <f ca="1">Messy_Data!J130</f>
        <v>44134</v>
      </c>
      <c r="F130" s="2">
        <f>Messy_Data!L130</f>
        <v>9838277221</v>
      </c>
      <c r="G130" s="2" t="str">
        <f>Messy_Data!N130</f>
        <v>vikas@company.com</v>
      </c>
      <c r="H130" s="12">
        <f>Messy_Data!O130</f>
        <v>19935</v>
      </c>
      <c r="I130" s="2" t="str">
        <f>Messy_Data!P130</f>
        <v>Below 20K</v>
      </c>
      <c r="J130" s="2"/>
      <c r="K130" s="2"/>
      <c r="L130" s="2"/>
      <c r="M130" s="2"/>
      <c r="N130" s="2"/>
      <c r="O130" s="2" t="str">
        <f>Messy_Data!S130</f>
        <v>M3</v>
      </c>
      <c r="P130" s="2" t="str">
        <f>Messy_Data!U130</f>
        <v>RESIGNED</v>
      </c>
      <c r="Q130" s="2">
        <f ca="1">Messy_Data!V130</f>
        <v>467</v>
      </c>
      <c r="R130" s="2">
        <f ca="1">Messy_Data!W130</f>
        <v>15</v>
      </c>
      <c r="S130" s="2">
        <f ca="1">Messy_Data!X130</f>
        <v>1</v>
      </c>
      <c r="T130" s="2"/>
      <c r="U130" s="2"/>
      <c r="V130" s="2"/>
      <c r="W130" s="9"/>
      <c r="X130" s="2"/>
      <c r="Y130" s="12"/>
      <c r="Z130" s="12"/>
      <c r="AA130" s="2" t="str">
        <f ca="1">Messy_Data!AA130</f>
        <v>OK</v>
      </c>
    </row>
    <row r="131" spans="1:27" x14ac:dyDescent="0.3">
      <c r="A131" s="2" t="str">
        <f>Messy_Data!B131</f>
        <v>EMP130</v>
      </c>
      <c r="B131" s="2" t="str">
        <f>Messy_Data!D131</f>
        <v>Kiran</v>
      </c>
      <c r="C131" s="2" t="str">
        <f>Messy_Data!F131</f>
        <v>FINANCE</v>
      </c>
      <c r="D131" s="3">
        <f>Messy_Data!H131</f>
        <v>44836</v>
      </c>
      <c r="E131" s="3">
        <f ca="1">Messy_Data!J131</f>
        <v>46239</v>
      </c>
      <c r="F131" s="2">
        <f>Messy_Data!L131</f>
        <v>9516138229</v>
      </c>
      <c r="G131" s="2" t="str">
        <f>Messy_Data!N131</f>
        <v>suresh@company.com</v>
      </c>
      <c r="H131" s="12">
        <f>Messy_Data!O131</f>
        <v>14716</v>
      </c>
      <c r="I131" s="2" t="str">
        <f>Messy_Data!P131</f>
        <v>Below 20K</v>
      </c>
      <c r="J131" s="2"/>
      <c r="K131" s="2"/>
      <c r="L131" s="2"/>
      <c r="M131" s="2"/>
      <c r="N131" s="2"/>
      <c r="O131" s="2" t="str">
        <f>Messy_Data!S131</f>
        <v>M4</v>
      </c>
      <c r="P131" s="2" t="str">
        <f>Messy_Data!U131</f>
        <v>RESIGNED</v>
      </c>
      <c r="Q131" s="2">
        <f ca="1">Messy_Data!V131</f>
        <v>1403</v>
      </c>
      <c r="R131" s="2">
        <f ca="1">Messy_Data!W131</f>
        <v>46</v>
      </c>
      <c r="S131" s="2">
        <f ca="1">Messy_Data!X131</f>
        <v>3</v>
      </c>
      <c r="T131" s="2"/>
      <c r="U131" s="2"/>
      <c r="V131" s="2"/>
      <c r="W131" s="9"/>
      <c r="X131" s="2"/>
      <c r="Y131" s="12"/>
      <c r="Z131" s="12"/>
      <c r="AA131" s="2" t="str">
        <f ca="1">Messy_Data!AA131</f>
        <v>OK</v>
      </c>
    </row>
    <row r="132" spans="1:27" x14ac:dyDescent="0.3">
      <c r="A132" s="2" t="str">
        <f>Messy_Data!B132</f>
        <v>EMP131</v>
      </c>
      <c r="B132" s="2" t="str">
        <f>Messy_Data!D132</f>
        <v>Sunita</v>
      </c>
      <c r="C132" s="2" t="str">
        <f>Messy_Data!F132</f>
        <v>FINANCE</v>
      </c>
      <c r="D132" s="3">
        <f>Messy_Data!H132</f>
        <v>44437</v>
      </c>
      <c r="E132" s="3">
        <f ca="1">Messy_Data!J132</f>
        <v>44715</v>
      </c>
      <c r="F132" s="2">
        <f>Messy_Data!L132</f>
        <v>9376811782</v>
      </c>
      <c r="G132" s="2" t="str">
        <f>Messy_Data!N132</f>
        <v>pooja@company.com</v>
      </c>
      <c r="H132" s="12">
        <f>Messy_Data!O132</f>
        <v>13461</v>
      </c>
      <c r="I132" s="2" t="str">
        <f>Messy_Data!P132</f>
        <v>Below 20K</v>
      </c>
      <c r="J132" s="2"/>
      <c r="K132" s="2"/>
      <c r="L132" s="2"/>
      <c r="M132" s="2"/>
      <c r="N132" s="2"/>
      <c r="O132" s="2" t="str">
        <f>Messy_Data!S132</f>
        <v>M3</v>
      </c>
      <c r="P132" s="2" t="str">
        <f>Messy_Data!U132</f>
        <v>ON HOLD</v>
      </c>
      <c r="Q132" s="2">
        <f ca="1">Messy_Data!V132</f>
        <v>278</v>
      </c>
      <c r="R132" s="2">
        <f ca="1">Messy_Data!W132</f>
        <v>9</v>
      </c>
      <c r="S132" s="2">
        <f ca="1">Messy_Data!X132</f>
        <v>0</v>
      </c>
      <c r="T132" s="2"/>
      <c r="U132" s="2"/>
      <c r="V132" s="2"/>
      <c r="W132" s="9"/>
      <c r="X132" s="2"/>
      <c r="Y132" s="12"/>
      <c r="Z132" s="12"/>
      <c r="AA132" s="2" t="str">
        <f ca="1">Messy_Data!AA132</f>
        <v>OK</v>
      </c>
    </row>
    <row r="133" spans="1:27" x14ac:dyDescent="0.3">
      <c r="A133" s="2" t="str">
        <f>Messy_Data!B133</f>
        <v>EMP132</v>
      </c>
      <c r="B133" s="2" t="str">
        <f>Messy_Data!D133</f>
        <v>Ankit</v>
      </c>
      <c r="C133" s="2" t="str">
        <f>Messy_Data!F133</f>
        <v>HR</v>
      </c>
      <c r="D133" s="3">
        <f>Messy_Data!H133</f>
        <v>45134</v>
      </c>
      <c r="E133" s="3">
        <f ca="1">Messy_Data!J133</f>
        <v>46567</v>
      </c>
      <c r="F133" s="2">
        <f>Messy_Data!L133</f>
        <v>9283074810</v>
      </c>
      <c r="G133" s="2" t="str">
        <f>Messy_Data!N133</f>
        <v>sunita@company.com</v>
      </c>
      <c r="H133" s="12">
        <f>Messy_Data!O133</f>
        <v>79615</v>
      </c>
      <c r="I133" s="2" t="str">
        <f>Messy_Data!P133</f>
        <v>60K-80K</v>
      </c>
      <c r="J133" s="2"/>
      <c r="K133" s="2"/>
      <c r="L133" s="2"/>
      <c r="M133" s="2"/>
      <c r="N133" s="2"/>
      <c r="O133" s="2" t="str">
        <f>Messy_Data!S133</f>
        <v>M4</v>
      </c>
      <c r="P133" s="2" t="str">
        <f>Messy_Data!U133</f>
        <v>RESIGNED</v>
      </c>
      <c r="Q133" s="2">
        <f ca="1">Messy_Data!V133</f>
        <v>1433</v>
      </c>
      <c r="R133" s="2">
        <f ca="1">Messy_Data!W133</f>
        <v>47</v>
      </c>
      <c r="S133" s="2">
        <f ca="1">Messy_Data!X133</f>
        <v>3</v>
      </c>
      <c r="T133" s="2"/>
      <c r="U133" s="2"/>
      <c r="V133" s="2"/>
      <c r="W133" s="9"/>
      <c r="X133" s="2"/>
      <c r="Y133" s="12"/>
      <c r="Z133" s="12"/>
      <c r="AA133" s="2" t="str">
        <f ca="1">Messy_Data!AA133</f>
        <v>OK</v>
      </c>
    </row>
    <row r="134" spans="1:27" x14ac:dyDescent="0.3">
      <c r="A134" s="2" t="str">
        <f>Messy_Data!B134</f>
        <v>EMP133</v>
      </c>
      <c r="B134" s="2" t="str">
        <f>Messy_Data!D134</f>
        <v>Ankit</v>
      </c>
      <c r="C134" s="2" t="str">
        <f>Messy_Data!F134</f>
        <v>IT</v>
      </c>
      <c r="D134" s="3">
        <f>Messy_Data!H134</f>
        <v>44600</v>
      </c>
      <c r="E134" s="3">
        <f ca="1">Messy_Data!J134</f>
        <v>46024</v>
      </c>
      <c r="F134" s="2">
        <f>Messy_Data!L134</f>
        <v>9541607757</v>
      </c>
      <c r="G134" s="2" t="str">
        <f>Messy_Data!N134</f>
        <v>rahul@company.com</v>
      </c>
      <c r="H134" s="12">
        <f>Messy_Data!O134</f>
        <v>48540</v>
      </c>
      <c r="I134" s="2" t="str">
        <f>Messy_Data!P134</f>
        <v>40K-60K</v>
      </c>
      <c r="J134" s="2"/>
      <c r="K134" s="2"/>
      <c r="L134" s="2"/>
      <c r="M134" s="2"/>
      <c r="N134" s="2"/>
      <c r="O134" s="2" t="str">
        <f>Messy_Data!S134</f>
        <v>M14</v>
      </c>
      <c r="P134" s="2" t="str">
        <f>Messy_Data!U134</f>
        <v>ON HOLD</v>
      </c>
      <c r="Q134" s="2">
        <f ca="1">Messy_Data!V134</f>
        <v>1424</v>
      </c>
      <c r="R134" s="2">
        <f ca="1">Messy_Data!W134</f>
        <v>46</v>
      </c>
      <c r="S134" s="2">
        <f ca="1">Messy_Data!X134</f>
        <v>3</v>
      </c>
      <c r="T134" s="2"/>
      <c r="U134" s="2"/>
      <c r="V134" s="2"/>
      <c r="W134" s="9"/>
      <c r="X134" s="2"/>
      <c r="Y134" s="12"/>
      <c r="Z134" s="12"/>
      <c r="AA134" s="2" t="str">
        <f ca="1">Messy_Data!AA134</f>
        <v>OK</v>
      </c>
    </row>
    <row r="135" spans="1:27" x14ac:dyDescent="0.3">
      <c r="A135" s="2" t="str">
        <f>Messy_Data!B135</f>
        <v>EMP134</v>
      </c>
      <c r="B135" s="2" t="str">
        <f>Messy_Data!D135</f>
        <v>Neha</v>
      </c>
      <c r="C135" s="2" t="str">
        <f>Messy_Data!F135</f>
        <v>SALES</v>
      </c>
      <c r="D135" s="3">
        <f>Messy_Data!H135</f>
        <v>44019</v>
      </c>
      <c r="E135" s="3">
        <f ca="1">Messy_Data!J135</f>
        <v>44217</v>
      </c>
      <c r="F135" s="2">
        <f>Messy_Data!L135</f>
        <v>9933720340</v>
      </c>
      <c r="G135" s="2" t="str">
        <f>Messy_Data!N135</f>
        <v>suresh@company.com</v>
      </c>
      <c r="H135" s="12">
        <f>Messy_Data!O135</f>
        <v>58302</v>
      </c>
      <c r="I135" s="2" t="str">
        <f>Messy_Data!P135</f>
        <v>40K-60K</v>
      </c>
      <c r="J135" s="2"/>
      <c r="K135" s="2"/>
      <c r="L135" s="2"/>
      <c r="M135" s="2"/>
      <c r="N135" s="2"/>
      <c r="O135" s="2" t="str">
        <f>Messy_Data!S135</f>
        <v>M15</v>
      </c>
      <c r="P135" s="2" t="str">
        <f>Messy_Data!U135</f>
        <v>ON HOLD</v>
      </c>
      <c r="Q135" s="2">
        <f ca="1">Messy_Data!V135</f>
        <v>198</v>
      </c>
      <c r="R135" s="2">
        <f ca="1">Messy_Data!W135</f>
        <v>6</v>
      </c>
      <c r="S135" s="2">
        <f ca="1">Messy_Data!X135</f>
        <v>0</v>
      </c>
      <c r="T135" s="2"/>
      <c r="U135" s="2"/>
      <c r="V135" s="2"/>
      <c r="W135" s="9"/>
      <c r="X135" s="2"/>
      <c r="Y135" s="12"/>
      <c r="Z135" s="12"/>
      <c r="AA135" s="2" t="str">
        <f ca="1">Messy_Data!AA135</f>
        <v>OK</v>
      </c>
    </row>
    <row r="136" spans="1:27" x14ac:dyDescent="0.3">
      <c r="A136" s="2" t="str">
        <f>Messy_Data!B136</f>
        <v>EMP135</v>
      </c>
      <c r="B136" s="2" t="str">
        <f>Messy_Data!D136</f>
        <v>Sunita</v>
      </c>
      <c r="C136" s="2" t="str">
        <f>Messy_Data!F136</f>
        <v>HR</v>
      </c>
      <c r="D136" s="3">
        <f>Messy_Data!H136</f>
        <v>44401</v>
      </c>
      <c r="E136" s="3">
        <f ca="1">Messy_Data!J136</f>
        <v>45427</v>
      </c>
      <c r="F136" s="2">
        <f>Messy_Data!L136</f>
        <v>9994614771</v>
      </c>
      <c r="G136" s="2" t="str">
        <f>Messy_Data!N136</f>
        <v>suresh@company.com</v>
      </c>
      <c r="H136" s="12">
        <f>Messy_Data!O136</f>
        <v>64910</v>
      </c>
      <c r="I136" s="2" t="str">
        <f>Messy_Data!P136</f>
        <v>60K-80K</v>
      </c>
      <c r="J136" s="2"/>
      <c r="K136" s="2"/>
      <c r="L136" s="2"/>
      <c r="M136" s="2"/>
      <c r="N136" s="2"/>
      <c r="O136" s="2" t="str">
        <f>Messy_Data!S136</f>
        <v>M24</v>
      </c>
      <c r="P136" s="2" t="str">
        <f>Messy_Data!U136</f>
        <v>RESIGNED</v>
      </c>
      <c r="Q136" s="2">
        <f ca="1">Messy_Data!V136</f>
        <v>1026</v>
      </c>
      <c r="R136" s="2">
        <f ca="1">Messy_Data!W136</f>
        <v>33</v>
      </c>
      <c r="S136" s="2">
        <f ca="1">Messy_Data!X136</f>
        <v>2</v>
      </c>
      <c r="T136" s="2"/>
      <c r="U136" s="2"/>
      <c r="V136" s="2"/>
      <c r="W136" s="9"/>
      <c r="X136" s="2"/>
      <c r="Y136" s="12"/>
      <c r="Z136" s="12"/>
      <c r="AA136" s="2" t="str">
        <f ca="1">Messy_Data!AA136</f>
        <v>OK</v>
      </c>
    </row>
    <row r="137" spans="1:27" x14ac:dyDescent="0.3">
      <c r="A137" s="2" t="str">
        <f>Messy_Data!B137</f>
        <v>EMP136</v>
      </c>
      <c r="B137" s="2" t="str">
        <f>Messy_Data!D137</f>
        <v>Amit</v>
      </c>
      <c r="C137" s="2" t="str">
        <f>Messy_Data!F137</f>
        <v>FINANCE</v>
      </c>
      <c r="D137" s="3">
        <f>Messy_Data!H137</f>
        <v>44424</v>
      </c>
      <c r="E137" s="3">
        <f ca="1">Messy_Data!J137</f>
        <v>44563</v>
      </c>
      <c r="F137" s="2">
        <f>Messy_Data!L137</f>
        <v>9598233365</v>
      </c>
      <c r="G137" s="2" t="str">
        <f>Messy_Data!N137</f>
        <v>neha@gmail.com</v>
      </c>
      <c r="H137" s="12">
        <f>Messy_Data!O137</f>
        <v>92917</v>
      </c>
      <c r="I137" s="2" t="str">
        <f>Messy_Data!P137</f>
        <v>Above 80K</v>
      </c>
      <c r="J137" s="2"/>
      <c r="K137" s="2"/>
      <c r="L137" s="2"/>
      <c r="M137" s="2"/>
      <c r="N137" s="2"/>
      <c r="O137" s="2" t="str">
        <f>Messy_Data!S137</f>
        <v>M14</v>
      </c>
      <c r="P137" s="2" t="str">
        <f>Messy_Data!U137</f>
        <v>ACTIVE</v>
      </c>
      <c r="Q137" s="2">
        <f ca="1">Messy_Data!V137</f>
        <v>139</v>
      </c>
      <c r="R137" s="2">
        <f ca="1">Messy_Data!W137</f>
        <v>4</v>
      </c>
      <c r="S137" s="2">
        <f ca="1">Messy_Data!X137</f>
        <v>0</v>
      </c>
      <c r="T137" s="2"/>
      <c r="U137" s="2"/>
      <c r="V137" s="2"/>
      <c r="W137" s="9"/>
      <c r="X137" s="2"/>
      <c r="Y137" s="12"/>
      <c r="Z137" s="12"/>
      <c r="AA137" s="2" t="str">
        <f ca="1">Messy_Data!AA137</f>
        <v>CHECK</v>
      </c>
    </row>
    <row r="138" spans="1:27" x14ac:dyDescent="0.3">
      <c r="A138" s="2" t="str">
        <f>Messy_Data!B138</f>
        <v>EMP137</v>
      </c>
      <c r="B138" s="2" t="str">
        <f>Messy_Data!D138</f>
        <v>Kiran</v>
      </c>
      <c r="C138" s="2" t="str">
        <f>Messy_Data!F138</f>
        <v>IT</v>
      </c>
      <c r="D138" s="3">
        <f>Messy_Data!H138</f>
        <v>43645</v>
      </c>
      <c r="E138" s="3">
        <f ca="1">Messy_Data!J138</f>
        <v>44617</v>
      </c>
      <c r="F138" s="2">
        <f>Messy_Data!L138</f>
        <v>9220357031</v>
      </c>
      <c r="G138" s="2" t="str">
        <f>Messy_Data!N138</f>
        <v>sunita@company.com</v>
      </c>
      <c r="H138" s="12">
        <f>Messy_Data!O138</f>
        <v>60328</v>
      </c>
      <c r="I138" s="2" t="str">
        <f>Messy_Data!P138</f>
        <v>60K-80K</v>
      </c>
      <c r="J138" s="2"/>
      <c r="K138" s="2"/>
      <c r="L138" s="2"/>
      <c r="M138" s="2"/>
      <c r="N138" s="2"/>
      <c r="O138" s="2" t="str">
        <f>Messy_Data!S138</f>
        <v>M19</v>
      </c>
      <c r="P138" s="2" t="str">
        <f>Messy_Data!U138</f>
        <v>RESIGNED</v>
      </c>
      <c r="Q138" s="2">
        <f ca="1">Messy_Data!V138</f>
        <v>972</v>
      </c>
      <c r="R138" s="2">
        <f ca="1">Messy_Data!W138</f>
        <v>31</v>
      </c>
      <c r="S138" s="2">
        <f ca="1">Messy_Data!X138</f>
        <v>2</v>
      </c>
      <c r="T138" s="2"/>
      <c r="U138" s="2"/>
      <c r="V138" s="2"/>
      <c r="W138" s="9"/>
      <c r="X138" s="2"/>
      <c r="Y138" s="12"/>
      <c r="Z138" s="12"/>
      <c r="AA138" s="2" t="str">
        <f ca="1">Messy_Data!AA138</f>
        <v>OK</v>
      </c>
    </row>
    <row r="139" spans="1:27" x14ac:dyDescent="0.3">
      <c r="A139" s="2" t="str">
        <f>Messy_Data!B139</f>
        <v>EMP138</v>
      </c>
      <c r="B139" s="2" t="str">
        <f>Messy_Data!D139</f>
        <v>Neha</v>
      </c>
      <c r="C139" s="2" t="str">
        <f>Messy_Data!F139</f>
        <v>HR</v>
      </c>
      <c r="D139" s="3">
        <f>Messy_Data!H139</f>
        <v>45006</v>
      </c>
      <c r="E139" s="3">
        <f ca="1">Messy_Data!J139</f>
        <v>45559</v>
      </c>
      <c r="F139" s="2">
        <f>Messy_Data!L139</f>
        <v>9953147974</v>
      </c>
      <c r="G139" s="2" t="str">
        <f>Messy_Data!N139</f>
        <v>vikas@company.com</v>
      </c>
      <c r="H139" s="12">
        <f>Messy_Data!O139</f>
        <v>61033</v>
      </c>
      <c r="I139" s="2" t="str">
        <f>Messy_Data!P139</f>
        <v>60K-80K</v>
      </c>
      <c r="J139" s="2"/>
      <c r="K139" s="2"/>
      <c r="L139" s="2"/>
      <c r="M139" s="2"/>
      <c r="N139" s="2"/>
      <c r="O139" s="2" t="str">
        <f>Messy_Data!S139</f>
        <v>M9</v>
      </c>
      <c r="P139" s="2" t="str">
        <f>Messy_Data!U139</f>
        <v>ACTIVE</v>
      </c>
      <c r="Q139" s="2">
        <f ca="1">Messy_Data!V139</f>
        <v>553</v>
      </c>
      <c r="R139" s="2">
        <f ca="1">Messy_Data!W139</f>
        <v>18</v>
      </c>
      <c r="S139" s="2">
        <f ca="1">Messy_Data!X139</f>
        <v>1</v>
      </c>
      <c r="T139" s="2"/>
      <c r="U139" s="2"/>
      <c r="V139" s="2"/>
      <c r="W139" s="9"/>
      <c r="X139" s="2"/>
      <c r="Y139" s="12"/>
      <c r="Z139" s="12"/>
      <c r="AA139" s="2" t="str">
        <f ca="1">Messy_Data!AA139</f>
        <v>OK</v>
      </c>
    </row>
    <row r="140" spans="1:27" x14ac:dyDescent="0.3">
      <c r="A140" s="2" t="str">
        <f>Messy_Data!B140</f>
        <v>EMP139</v>
      </c>
      <c r="B140" s="2" t="str">
        <f>Messy_Data!D140</f>
        <v>Ravi</v>
      </c>
      <c r="C140" s="2" t="str">
        <f>Messy_Data!F140</f>
        <v>IT</v>
      </c>
      <c r="D140" s="3">
        <f>Messy_Data!H140</f>
        <v>44966</v>
      </c>
      <c r="E140" s="3">
        <f ca="1">Messy_Data!J140</f>
        <v>45404</v>
      </c>
      <c r="F140" s="2">
        <f>Messy_Data!L140</f>
        <v>9796115365</v>
      </c>
      <c r="G140" s="2" t="str">
        <f>Messy_Data!N140</f>
        <v>vikas@company.com</v>
      </c>
      <c r="H140" s="12">
        <f>Messy_Data!O140</f>
        <v>94071</v>
      </c>
      <c r="I140" s="2" t="str">
        <f>Messy_Data!P140</f>
        <v>Above 80K</v>
      </c>
      <c r="J140" s="2"/>
      <c r="K140" s="2"/>
      <c r="L140" s="2"/>
      <c r="M140" s="2"/>
      <c r="N140" s="2"/>
      <c r="O140" s="2" t="str">
        <f>Messy_Data!S140</f>
        <v>M23</v>
      </c>
      <c r="P140" s="2" t="str">
        <f>Messy_Data!U140</f>
        <v>ACTIVE</v>
      </c>
      <c r="Q140" s="2">
        <f ca="1">Messy_Data!V140</f>
        <v>438</v>
      </c>
      <c r="R140" s="2">
        <f ca="1">Messy_Data!W140</f>
        <v>14</v>
      </c>
      <c r="S140" s="2">
        <f ca="1">Messy_Data!X140</f>
        <v>1</v>
      </c>
      <c r="T140" s="2"/>
      <c r="U140" s="2"/>
      <c r="V140" s="2"/>
      <c r="W140" s="9"/>
      <c r="X140" s="2"/>
      <c r="Y140" s="12"/>
      <c r="Z140" s="12"/>
      <c r="AA140" s="2" t="str">
        <f ca="1">Messy_Data!AA140</f>
        <v>CHECK</v>
      </c>
    </row>
    <row r="141" spans="1:27" x14ac:dyDescent="0.3">
      <c r="A141" s="2" t="str">
        <f>Messy_Data!B141</f>
        <v>EMP140</v>
      </c>
      <c r="B141" s="2" t="str">
        <f>Messy_Data!D141</f>
        <v>Amit</v>
      </c>
      <c r="C141" s="2" t="str">
        <f>Messy_Data!F141</f>
        <v>SALES</v>
      </c>
      <c r="D141" s="3">
        <f>Messy_Data!H141</f>
        <v>44906</v>
      </c>
      <c r="E141" s="3">
        <f ca="1">Messy_Data!J141</f>
        <v>46024</v>
      </c>
      <c r="F141" s="2">
        <f>Messy_Data!L141</f>
        <v>9507387598</v>
      </c>
      <c r="G141" s="2" t="str">
        <f>Messy_Data!N141</f>
        <v>kiran@company.com</v>
      </c>
      <c r="H141" s="12">
        <f>Messy_Data!O141</f>
        <v>90672</v>
      </c>
      <c r="I141" s="2" t="str">
        <f>Messy_Data!P141</f>
        <v>Above 80K</v>
      </c>
      <c r="J141" s="2"/>
      <c r="K141" s="2"/>
      <c r="L141" s="2"/>
      <c r="M141" s="2"/>
      <c r="N141" s="2"/>
      <c r="O141" s="2" t="str">
        <f>Messy_Data!S141</f>
        <v>M8</v>
      </c>
      <c r="P141" s="2" t="str">
        <f>Messy_Data!U141</f>
        <v>RESIGNED</v>
      </c>
      <c r="Q141" s="2">
        <f ca="1">Messy_Data!V141</f>
        <v>1118</v>
      </c>
      <c r="R141" s="2">
        <f ca="1">Messy_Data!W141</f>
        <v>36</v>
      </c>
      <c r="S141" s="2">
        <f ca="1">Messy_Data!X141</f>
        <v>3</v>
      </c>
      <c r="T141" s="2"/>
      <c r="U141" s="2"/>
      <c r="V141" s="2"/>
      <c r="W141" s="9"/>
      <c r="X141" s="2"/>
      <c r="Y141" s="12"/>
      <c r="Z141" s="12"/>
      <c r="AA141" s="2" t="str">
        <f ca="1">Messy_Data!AA141</f>
        <v>OK</v>
      </c>
    </row>
    <row r="142" spans="1:27" x14ac:dyDescent="0.3">
      <c r="A142" s="2" t="str">
        <f>Messy_Data!B142</f>
        <v>EMP141</v>
      </c>
      <c r="B142" s="2" t="str">
        <f>Messy_Data!D142</f>
        <v>Ravi</v>
      </c>
      <c r="C142" s="2" t="str">
        <f>Messy_Data!F142</f>
        <v>SALES</v>
      </c>
      <c r="D142" s="3">
        <f>Messy_Data!H142</f>
        <v>45095</v>
      </c>
      <c r="E142" s="3">
        <f ca="1">Messy_Data!J142</f>
        <v>45341</v>
      </c>
      <c r="F142" s="2">
        <f>Messy_Data!L142</f>
        <v>9250551491</v>
      </c>
      <c r="G142" s="2" t="str">
        <f>Messy_Data!N142</f>
        <v>amit@company.com</v>
      </c>
      <c r="H142" s="12">
        <f>Messy_Data!O142</f>
        <v>50908</v>
      </c>
      <c r="I142" s="2" t="str">
        <f>Messy_Data!P142</f>
        <v>40K-60K</v>
      </c>
      <c r="J142" s="2"/>
      <c r="K142" s="2"/>
      <c r="L142" s="2"/>
      <c r="M142" s="2"/>
      <c r="N142" s="2"/>
      <c r="O142" s="2" t="str">
        <f>Messy_Data!S142</f>
        <v>M15</v>
      </c>
      <c r="P142" s="2" t="str">
        <f>Messy_Data!U142</f>
        <v>RESIGNED</v>
      </c>
      <c r="Q142" s="2">
        <f ca="1">Messy_Data!V142</f>
        <v>246</v>
      </c>
      <c r="R142" s="2">
        <f ca="1">Messy_Data!W142</f>
        <v>8</v>
      </c>
      <c r="S142" s="2">
        <f ca="1">Messy_Data!X142</f>
        <v>0</v>
      </c>
      <c r="T142" s="2"/>
      <c r="U142" s="2"/>
      <c r="V142" s="2"/>
      <c r="W142" s="9"/>
      <c r="X142" s="2"/>
      <c r="Y142" s="12"/>
      <c r="Z142" s="12"/>
      <c r="AA142" s="2" t="str">
        <f ca="1">Messy_Data!AA142</f>
        <v>OK</v>
      </c>
    </row>
    <row r="143" spans="1:27" x14ac:dyDescent="0.3">
      <c r="A143" s="2" t="str">
        <f>Messy_Data!B143</f>
        <v>EMP142</v>
      </c>
      <c r="B143" s="2" t="str">
        <f>Messy_Data!D143</f>
        <v>Ankit</v>
      </c>
      <c r="C143" s="2" t="str">
        <f>Messy_Data!F143</f>
        <v>HR</v>
      </c>
      <c r="D143" s="3">
        <f>Messy_Data!H143</f>
        <v>43943</v>
      </c>
      <c r="E143" s="3">
        <f ca="1">Messy_Data!J143</f>
        <v>45346</v>
      </c>
      <c r="F143" s="2">
        <f>Messy_Data!L143</f>
        <v>9391772996</v>
      </c>
      <c r="G143" s="2" t="str">
        <f>Messy_Data!N143</f>
        <v>ankit@company.com</v>
      </c>
      <c r="H143" s="12">
        <f>Messy_Data!O143</f>
        <v>18027</v>
      </c>
      <c r="I143" s="2" t="str">
        <f>Messy_Data!P143</f>
        <v>Below 20K</v>
      </c>
      <c r="J143" s="2"/>
      <c r="K143" s="2"/>
      <c r="L143" s="2"/>
      <c r="M143" s="2"/>
      <c r="N143" s="2"/>
      <c r="O143" s="2" t="str">
        <f>Messy_Data!S143</f>
        <v>M17</v>
      </c>
      <c r="P143" s="2" t="str">
        <f>Messy_Data!U143</f>
        <v>ACTIVE</v>
      </c>
      <c r="Q143" s="2">
        <f ca="1">Messy_Data!V143</f>
        <v>1403</v>
      </c>
      <c r="R143" s="2">
        <f ca="1">Messy_Data!W143</f>
        <v>46</v>
      </c>
      <c r="S143" s="2">
        <f ca="1">Messy_Data!X143</f>
        <v>3</v>
      </c>
      <c r="T143" s="2"/>
      <c r="U143" s="2"/>
      <c r="V143" s="2"/>
      <c r="W143" s="9"/>
      <c r="X143" s="2"/>
      <c r="Y143" s="12"/>
      <c r="Z143" s="12"/>
      <c r="AA143" s="2" t="str">
        <f ca="1">Messy_Data!AA143</f>
        <v>OK</v>
      </c>
    </row>
    <row r="144" spans="1:27" x14ac:dyDescent="0.3">
      <c r="A144" s="2" t="str">
        <f>Messy_Data!B144</f>
        <v>EMP143</v>
      </c>
      <c r="B144" s="2" t="str">
        <f>Messy_Data!D144</f>
        <v>Kiran</v>
      </c>
      <c r="C144" s="2" t="str">
        <f>Messy_Data!F144</f>
        <v>FINANCE</v>
      </c>
      <c r="D144" s="3">
        <f>Messy_Data!H144</f>
        <v>45142</v>
      </c>
      <c r="E144" s="3">
        <f ca="1">Messy_Data!J144</f>
        <v>45259</v>
      </c>
      <c r="F144" s="2">
        <f>Messy_Data!L144</f>
        <v>9113871794</v>
      </c>
      <c r="G144" s="2" t="str">
        <f>Messy_Data!N144</f>
        <v>pooja@company.com</v>
      </c>
      <c r="H144" s="12">
        <f>Messy_Data!O144</f>
        <v>78849</v>
      </c>
      <c r="I144" s="2" t="str">
        <f>Messy_Data!P144</f>
        <v>60K-80K</v>
      </c>
      <c r="J144" s="2"/>
      <c r="K144" s="2"/>
      <c r="L144" s="2"/>
      <c r="M144" s="2"/>
      <c r="N144" s="2"/>
      <c r="O144" s="2" t="str">
        <f>Messy_Data!S144</f>
        <v>M18</v>
      </c>
      <c r="P144" s="2" t="str">
        <f>Messy_Data!U144</f>
        <v>ON HOLD</v>
      </c>
      <c r="Q144" s="2">
        <f ca="1">Messy_Data!V144</f>
        <v>117</v>
      </c>
      <c r="R144" s="2">
        <f ca="1">Messy_Data!W144</f>
        <v>3</v>
      </c>
      <c r="S144" s="2">
        <f ca="1">Messy_Data!X144</f>
        <v>0</v>
      </c>
      <c r="T144" s="2"/>
      <c r="U144" s="2"/>
      <c r="V144" s="2"/>
      <c r="W144" s="9"/>
      <c r="X144" s="2"/>
      <c r="Y144" s="12"/>
      <c r="Z144" s="12"/>
      <c r="AA144" s="2" t="str">
        <f ca="1">Messy_Data!AA144</f>
        <v>OK</v>
      </c>
    </row>
    <row r="145" spans="1:27" x14ac:dyDescent="0.3">
      <c r="A145" s="2" t="str">
        <f>Messy_Data!B145</f>
        <v>EMP144</v>
      </c>
      <c r="B145" s="2" t="str">
        <f>Messy_Data!D145</f>
        <v>Rahul</v>
      </c>
      <c r="C145" s="2" t="str">
        <f>Messy_Data!F145</f>
        <v>HR</v>
      </c>
      <c r="D145" s="3">
        <f>Messy_Data!H145</f>
        <v>43510</v>
      </c>
      <c r="E145" s="3">
        <f ca="1">Messy_Data!J145</f>
        <v>44560</v>
      </c>
      <c r="F145" s="2">
        <f>Messy_Data!L145</f>
        <v>9514885864</v>
      </c>
      <c r="G145" s="2" t="str">
        <f>Messy_Data!N145</f>
        <v>suresh@gmail.com</v>
      </c>
      <c r="H145" s="12">
        <f>Messy_Data!O145</f>
        <v>79370</v>
      </c>
      <c r="I145" s="2" t="str">
        <f>Messy_Data!P145</f>
        <v>60K-80K</v>
      </c>
      <c r="J145" s="2"/>
      <c r="K145" s="2"/>
      <c r="L145" s="2"/>
      <c r="M145" s="2"/>
      <c r="N145" s="2"/>
      <c r="O145" s="2" t="str">
        <f>Messy_Data!S145</f>
        <v>M23</v>
      </c>
      <c r="P145" s="2" t="str">
        <f>Messy_Data!U145</f>
        <v>ACTIVE</v>
      </c>
      <c r="Q145" s="2">
        <f ca="1">Messy_Data!V145</f>
        <v>1050</v>
      </c>
      <c r="R145" s="2">
        <f ca="1">Messy_Data!W145</f>
        <v>34</v>
      </c>
      <c r="S145" s="2">
        <f ca="1">Messy_Data!X145</f>
        <v>2</v>
      </c>
      <c r="T145" s="2"/>
      <c r="U145" s="2"/>
      <c r="V145" s="2"/>
      <c r="W145" s="9"/>
      <c r="X145" s="2"/>
      <c r="Y145" s="12"/>
      <c r="Z145" s="12"/>
      <c r="AA145" s="2" t="str">
        <f ca="1">Messy_Data!AA145</f>
        <v>OK</v>
      </c>
    </row>
    <row r="146" spans="1:27" x14ac:dyDescent="0.3">
      <c r="A146" s="2" t="str">
        <f>Messy_Data!B146</f>
        <v>EMP145</v>
      </c>
      <c r="B146" s="2" t="str">
        <f>Messy_Data!D146</f>
        <v>Sunita</v>
      </c>
      <c r="C146" s="2" t="str">
        <f>Messy_Data!F146</f>
        <v>FINANCE</v>
      </c>
      <c r="D146" s="3">
        <f>Messy_Data!H146</f>
        <v>43520</v>
      </c>
      <c r="E146" s="3">
        <f ca="1">Messy_Data!J146</f>
        <v>43989</v>
      </c>
      <c r="F146" s="2">
        <f>Messy_Data!L146</f>
        <v>9623266099</v>
      </c>
      <c r="G146" s="2" t="str">
        <f>Messy_Data!N146</f>
        <v>ravi@company.com</v>
      </c>
      <c r="H146" s="12">
        <f>Messy_Data!O146</f>
        <v>50107</v>
      </c>
      <c r="I146" s="2" t="str">
        <f>Messy_Data!P146</f>
        <v>40K-60K</v>
      </c>
      <c r="J146" s="2"/>
      <c r="K146" s="2"/>
      <c r="L146" s="2"/>
      <c r="M146" s="2"/>
      <c r="N146" s="2"/>
      <c r="O146" s="2" t="str">
        <f>Messy_Data!S146</f>
        <v>M12</v>
      </c>
      <c r="P146" s="2" t="str">
        <f>Messy_Data!U146</f>
        <v>ON HOLD</v>
      </c>
      <c r="Q146" s="2">
        <f ca="1">Messy_Data!V146</f>
        <v>469</v>
      </c>
      <c r="R146" s="2">
        <f ca="1">Messy_Data!W146</f>
        <v>15</v>
      </c>
      <c r="S146" s="2">
        <f ca="1">Messy_Data!X146</f>
        <v>1</v>
      </c>
      <c r="T146" s="2"/>
      <c r="U146" s="2"/>
      <c r="V146" s="2"/>
      <c r="W146" s="9"/>
      <c r="X146" s="2"/>
      <c r="Y146" s="12"/>
      <c r="Z146" s="12"/>
      <c r="AA146" s="2" t="str">
        <f ca="1">Messy_Data!AA146</f>
        <v>OK</v>
      </c>
    </row>
    <row r="147" spans="1:27" x14ac:dyDescent="0.3">
      <c r="A147" s="2" t="str">
        <f>Messy_Data!B147</f>
        <v>EMP146</v>
      </c>
      <c r="B147" s="2" t="str">
        <f>Messy_Data!D147</f>
        <v>Rahul</v>
      </c>
      <c r="C147" s="2" t="str">
        <f>Messy_Data!F147</f>
        <v>SALES</v>
      </c>
      <c r="D147" s="3">
        <f>Messy_Data!H147</f>
        <v>44066</v>
      </c>
      <c r="E147" s="3">
        <f ca="1">Messy_Data!J147</f>
        <v>45149</v>
      </c>
      <c r="F147" s="2">
        <f>Messy_Data!L147</f>
        <v>9748934561</v>
      </c>
      <c r="G147" s="2" t="str">
        <f>Messy_Data!N147</f>
        <v>suresh@company.com</v>
      </c>
      <c r="H147" s="12">
        <f>Messy_Data!O147</f>
        <v>66879</v>
      </c>
      <c r="I147" s="2" t="str">
        <f>Messy_Data!P147</f>
        <v>60K-80K</v>
      </c>
      <c r="J147" s="2"/>
      <c r="K147" s="2"/>
      <c r="L147" s="2"/>
      <c r="M147" s="2"/>
      <c r="N147" s="2"/>
      <c r="O147" s="2" t="str">
        <f>Messy_Data!S147</f>
        <v>M24</v>
      </c>
      <c r="P147" s="2" t="str">
        <f>Messy_Data!U147</f>
        <v>RESIGNED</v>
      </c>
      <c r="Q147" s="2">
        <f ca="1">Messy_Data!V147</f>
        <v>1083</v>
      </c>
      <c r="R147" s="2">
        <f ca="1">Messy_Data!W147</f>
        <v>35</v>
      </c>
      <c r="S147" s="2">
        <f ca="1">Messy_Data!X147</f>
        <v>2</v>
      </c>
      <c r="T147" s="2"/>
      <c r="U147" s="2"/>
      <c r="V147" s="2"/>
      <c r="W147" s="9"/>
      <c r="X147" s="2"/>
      <c r="Y147" s="12"/>
      <c r="Z147" s="12"/>
      <c r="AA147" s="2" t="str">
        <f ca="1">Messy_Data!AA147</f>
        <v>OK</v>
      </c>
    </row>
    <row r="148" spans="1:27" x14ac:dyDescent="0.3">
      <c r="A148" s="2" t="str">
        <f>Messy_Data!B148</f>
        <v>EMP147</v>
      </c>
      <c r="B148" s="2" t="str">
        <f>Messy_Data!D148</f>
        <v>Amit</v>
      </c>
      <c r="C148" s="2" t="str">
        <f>Messy_Data!F148</f>
        <v>FINANCE</v>
      </c>
      <c r="D148" s="3">
        <f>Messy_Data!H148</f>
        <v>43810</v>
      </c>
      <c r="E148" s="3">
        <f ca="1">Messy_Data!J148</f>
        <v>46024</v>
      </c>
      <c r="F148" s="2">
        <f>Messy_Data!L148</f>
        <v>9944548286</v>
      </c>
      <c r="G148" s="2" t="str">
        <f>Messy_Data!N148</f>
        <v>ravi@company.com</v>
      </c>
      <c r="H148" s="12">
        <f>Messy_Data!O148</f>
        <v>90588</v>
      </c>
      <c r="I148" s="2" t="str">
        <f>Messy_Data!P148</f>
        <v>Above 80K</v>
      </c>
      <c r="J148" s="2"/>
      <c r="K148" s="2"/>
      <c r="L148" s="2"/>
      <c r="M148" s="2"/>
      <c r="N148" s="2"/>
      <c r="O148" s="2" t="str">
        <f>Messy_Data!S148</f>
        <v>M22</v>
      </c>
      <c r="P148" s="2" t="str">
        <f>Messy_Data!U148</f>
        <v>ACTIVE</v>
      </c>
      <c r="Q148" s="2">
        <f ca="1">Messy_Data!V148</f>
        <v>2214</v>
      </c>
      <c r="R148" s="2">
        <f ca="1">Messy_Data!W148</f>
        <v>72</v>
      </c>
      <c r="S148" s="2">
        <f ca="1">Messy_Data!X148</f>
        <v>6</v>
      </c>
      <c r="T148" s="2"/>
      <c r="U148" s="2"/>
      <c r="V148" s="2"/>
      <c r="W148" s="9"/>
      <c r="X148" s="2"/>
      <c r="Y148" s="12"/>
      <c r="Z148" s="12"/>
      <c r="AA148" s="2" t="str">
        <f ca="1">Messy_Data!AA148</f>
        <v>OK</v>
      </c>
    </row>
    <row r="149" spans="1:27" x14ac:dyDescent="0.3">
      <c r="A149" s="2" t="str">
        <f>Messy_Data!B149</f>
        <v>EMP148</v>
      </c>
      <c r="B149" s="2" t="str">
        <f>Messy_Data!D149</f>
        <v>Neha</v>
      </c>
      <c r="C149" s="2" t="str">
        <f>Messy_Data!F149</f>
        <v>HR</v>
      </c>
      <c r="D149" s="3">
        <f>Messy_Data!H149</f>
        <v>44560</v>
      </c>
      <c r="E149" s="3">
        <f ca="1">Messy_Data!J149</f>
        <v>44939</v>
      </c>
      <c r="F149" s="2">
        <f>Messy_Data!L149</f>
        <v>9458080545</v>
      </c>
      <c r="G149" s="2" t="str">
        <f>Messy_Data!N149</f>
        <v>ravi@company.com</v>
      </c>
      <c r="H149" s="12">
        <f>Messy_Data!O149</f>
        <v>57312</v>
      </c>
      <c r="I149" s="2" t="str">
        <f>Messy_Data!P149</f>
        <v>40K-60K</v>
      </c>
      <c r="J149" s="2"/>
      <c r="K149" s="2"/>
      <c r="L149" s="2"/>
      <c r="M149" s="2"/>
      <c r="N149" s="2"/>
      <c r="O149" s="2" t="str">
        <f>Messy_Data!S149</f>
        <v>M23</v>
      </c>
      <c r="P149" s="2" t="str">
        <f>Messy_Data!U149</f>
        <v>RESIGNED</v>
      </c>
      <c r="Q149" s="2">
        <f ca="1">Messy_Data!V149</f>
        <v>379</v>
      </c>
      <c r="R149" s="2">
        <f ca="1">Messy_Data!W149</f>
        <v>12</v>
      </c>
      <c r="S149" s="2">
        <f ca="1">Messy_Data!X149</f>
        <v>1</v>
      </c>
      <c r="T149" s="2"/>
      <c r="U149" s="2"/>
      <c r="V149" s="2"/>
      <c r="W149" s="9"/>
      <c r="X149" s="2"/>
      <c r="Y149" s="12"/>
      <c r="Z149" s="12"/>
      <c r="AA149" s="2" t="str">
        <f ca="1">Messy_Data!AA149</f>
        <v>OK</v>
      </c>
    </row>
    <row r="150" spans="1:27" x14ac:dyDescent="0.3">
      <c r="A150" s="2" t="str">
        <f>Messy_Data!B150</f>
        <v>EMP149</v>
      </c>
      <c r="B150" s="2" t="str">
        <f>Messy_Data!D150</f>
        <v>Suresh</v>
      </c>
      <c r="C150" s="2" t="str">
        <f>Messy_Data!F150</f>
        <v>HR</v>
      </c>
      <c r="D150" s="3">
        <f>Messy_Data!H150</f>
        <v>43911</v>
      </c>
      <c r="E150" s="3">
        <f ca="1">Messy_Data!J150</f>
        <v>44315</v>
      </c>
      <c r="F150" s="2">
        <f>Messy_Data!L150</f>
        <v>9142668901</v>
      </c>
      <c r="G150" s="2" t="str">
        <f>Messy_Data!N150</f>
        <v>vikas@company.com</v>
      </c>
      <c r="H150" s="12">
        <f>Messy_Data!O150</f>
        <v>16531</v>
      </c>
      <c r="I150" s="2" t="str">
        <f>Messy_Data!P150</f>
        <v>Below 20K</v>
      </c>
      <c r="J150" s="2"/>
      <c r="K150" s="2"/>
      <c r="L150" s="2"/>
      <c r="M150" s="2"/>
      <c r="N150" s="2"/>
      <c r="O150" s="2" t="str">
        <f>Messy_Data!S150</f>
        <v>M22</v>
      </c>
      <c r="P150" s="2" t="str">
        <f>Messy_Data!U150</f>
        <v>ON HOLD</v>
      </c>
      <c r="Q150" s="2">
        <f ca="1">Messy_Data!V150</f>
        <v>404</v>
      </c>
      <c r="R150" s="2">
        <f ca="1">Messy_Data!W150</f>
        <v>13</v>
      </c>
      <c r="S150" s="2">
        <f ca="1">Messy_Data!X150</f>
        <v>1</v>
      </c>
      <c r="T150" s="2"/>
      <c r="U150" s="2"/>
      <c r="V150" s="2"/>
      <c r="W150" s="9"/>
      <c r="X150" s="2"/>
      <c r="Y150" s="12"/>
      <c r="Z150" s="12"/>
      <c r="AA150" s="2" t="str">
        <f ca="1">Messy_Data!AA150</f>
        <v>OK</v>
      </c>
    </row>
    <row r="151" spans="1:27" x14ac:dyDescent="0.3">
      <c r="A151" s="2" t="str">
        <f>Messy_Data!B151</f>
        <v>EMP150</v>
      </c>
      <c r="B151" s="2" t="str">
        <f>Messy_Data!D151</f>
        <v>Neha</v>
      </c>
      <c r="C151" s="2" t="str">
        <f>Messy_Data!F151</f>
        <v>IT</v>
      </c>
      <c r="D151" s="3">
        <f>Messy_Data!H151</f>
        <v>44066</v>
      </c>
      <c r="E151" s="3">
        <f ca="1">Messy_Data!J151</f>
        <v>45214</v>
      </c>
      <c r="F151" s="2">
        <f>Messy_Data!L151</f>
        <v>9149143665</v>
      </c>
      <c r="G151" s="2" t="str">
        <f>Messy_Data!N151</f>
        <v>amit@company.com</v>
      </c>
      <c r="H151" s="12">
        <f>Messy_Data!O151</f>
        <v>55610</v>
      </c>
      <c r="I151" s="2" t="str">
        <f>Messy_Data!P151</f>
        <v>40K-60K</v>
      </c>
      <c r="J151" s="2"/>
      <c r="K151" s="2"/>
      <c r="L151" s="2"/>
      <c r="M151" s="2"/>
      <c r="N151" s="2"/>
      <c r="O151" s="2" t="str">
        <f>Messy_Data!S151</f>
        <v>M21</v>
      </c>
      <c r="P151" s="2" t="str">
        <f>Messy_Data!U151</f>
        <v>ACTIVE</v>
      </c>
      <c r="Q151" s="2">
        <f ca="1">Messy_Data!V151</f>
        <v>1148</v>
      </c>
      <c r="R151" s="2">
        <f ca="1">Messy_Data!W151</f>
        <v>37</v>
      </c>
      <c r="S151" s="2">
        <f ca="1">Messy_Data!X151</f>
        <v>3</v>
      </c>
      <c r="T151" s="2"/>
      <c r="U151" s="2"/>
      <c r="V151" s="2"/>
      <c r="W151" s="9"/>
      <c r="X151" s="2"/>
      <c r="Y151" s="12"/>
      <c r="Z151" s="12"/>
      <c r="AA151" s="2" t="str">
        <f ca="1">Messy_Data!AA151</f>
        <v>OK</v>
      </c>
    </row>
    <row r="152" spans="1:27" x14ac:dyDescent="0.3">
      <c r="A152" s="2" t="str">
        <f>Messy_Data!B152</f>
        <v>EMP151</v>
      </c>
      <c r="B152" s="2" t="str">
        <f>Messy_Data!D152</f>
        <v>Amit</v>
      </c>
      <c r="C152" s="2" t="str">
        <f>Messy_Data!F152</f>
        <v>SALES</v>
      </c>
      <c r="D152" s="3">
        <f>Messy_Data!H152</f>
        <v>43574</v>
      </c>
      <c r="E152" s="3">
        <f ca="1">Messy_Data!J152</f>
        <v>44618</v>
      </c>
      <c r="F152" s="2">
        <f>Messy_Data!L152</f>
        <v>9325091238</v>
      </c>
      <c r="G152" s="2" t="str">
        <f>Messy_Data!N152</f>
        <v>ankit@company.com</v>
      </c>
      <c r="H152" s="12">
        <f>Messy_Data!O152</f>
        <v>14215</v>
      </c>
      <c r="I152" s="2" t="str">
        <f>Messy_Data!P152</f>
        <v>Below 20K</v>
      </c>
      <c r="J152" s="2"/>
      <c r="K152" s="2"/>
      <c r="L152" s="2"/>
      <c r="M152" s="2"/>
      <c r="N152" s="2"/>
      <c r="O152" s="2" t="str">
        <f>Messy_Data!S152</f>
        <v>M12</v>
      </c>
      <c r="P152" s="2" t="str">
        <f>Messy_Data!U152</f>
        <v>RESIGNED</v>
      </c>
      <c r="Q152" s="2">
        <f ca="1">Messy_Data!V152</f>
        <v>1044</v>
      </c>
      <c r="R152" s="2">
        <f ca="1">Messy_Data!W152</f>
        <v>34</v>
      </c>
      <c r="S152" s="2">
        <f ca="1">Messy_Data!X152</f>
        <v>2</v>
      </c>
      <c r="T152" s="2"/>
      <c r="U152" s="2"/>
      <c r="V152" s="2"/>
      <c r="W152" s="9"/>
      <c r="X152" s="2"/>
      <c r="Y152" s="12"/>
      <c r="Z152" s="12"/>
      <c r="AA152" s="2" t="str">
        <f ca="1">Messy_Data!AA152</f>
        <v>OK</v>
      </c>
    </row>
    <row r="153" spans="1:27" x14ac:dyDescent="0.3">
      <c r="A153" s="2" t="str">
        <f>Messy_Data!B153</f>
        <v>EMP152</v>
      </c>
      <c r="B153" s="2" t="str">
        <f>Messy_Data!D153</f>
        <v>Ravi</v>
      </c>
      <c r="C153" s="2" t="str">
        <f>Messy_Data!F153</f>
        <v>SALES</v>
      </c>
      <c r="D153" s="3">
        <f>Messy_Data!H153</f>
        <v>44312</v>
      </c>
      <c r="E153" s="3">
        <f ca="1">Messy_Data!J153</f>
        <v>45195</v>
      </c>
      <c r="F153" s="2">
        <f>Messy_Data!L153</f>
        <v>9103060842</v>
      </c>
      <c r="G153" s="2" t="str">
        <f>Messy_Data!N153</f>
        <v>vikas@gmail.com</v>
      </c>
      <c r="H153" s="12">
        <f>Messy_Data!O153</f>
        <v>44943</v>
      </c>
      <c r="I153" s="2" t="str">
        <f>Messy_Data!P153</f>
        <v>40K-60K</v>
      </c>
      <c r="J153" s="2"/>
      <c r="K153" s="2"/>
      <c r="L153" s="2"/>
      <c r="M153" s="2"/>
      <c r="N153" s="2"/>
      <c r="O153" s="2" t="str">
        <f>Messy_Data!S153</f>
        <v>M24</v>
      </c>
      <c r="P153" s="2" t="str">
        <f>Messy_Data!U153</f>
        <v>RESIGNED</v>
      </c>
      <c r="Q153" s="2">
        <f ca="1">Messy_Data!V153</f>
        <v>883</v>
      </c>
      <c r="R153" s="2">
        <f ca="1">Messy_Data!W153</f>
        <v>29</v>
      </c>
      <c r="S153" s="2">
        <f ca="1">Messy_Data!X153</f>
        <v>2</v>
      </c>
      <c r="T153" s="2"/>
      <c r="U153" s="2"/>
      <c r="V153" s="2"/>
      <c r="W153" s="9"/>
      <c r="X153" s="2"/>
      <c r="Y153" s="12"/>
      <c r="Z153" s="12"/>
      <c r="AA153" s="2" t="str">
        <f ca="1">Messy_Data!AA153</f>
        <v>OK</v>
      </c>
    </row>
    <row r="154" spans="1:27" x14ac:dyDescent="0.3">
      <c r="A154" s="2" t="str">
        <f>Messy_Data!B154</f>
        <v>EMP153</v>
      </c>
      <c r="B154" s="2" t="str">
        <f>Messy_Data!D154</f>
        <v>Vikas</v>
      </c>
      <c r="C154" s="2" t="str">
        <f>Messy_Data!F154</f>
        <v>HR</v>
      </c>
      <c r="D154" s="3">
        <f>Messy_Data!H154</f>
        <v>44029</v>
      </c>
      <c r="E154" s="3">
        <f ca="1">Messy_Data!J154</f>
        <v>44324</v>
      </c>
      <c r="F154" s="2">
        <f>Messy_Data!L154</f>
        <v>9464646624</v>
      </c>
      <c r="G154" s="2" t="str">
        <f>Messy_Data!N154</f>
        <v>ravi@company.com</v>
      </c>
      <c r="H154" s="12">
        <f>Messy_Data!O154</f>
        <v>92877</v>
      </c>
      <c r="I154" s="2" t="str">
        <f>Messy_Data!P154</f>
        <v>Above 80K</v>
      </c>
      <c r="J154" s="2"/>
      <c r="K154" s="2"/>
      <c r="L154" s="2"/>
      <c r="M154" s="2"/>
      <c r="N154" s="2"/>
      <c r="O154" s="2" t="str">
        <f>Messy_Data!S154</f>
        <v>M12</v>
      </c>
      <c r="P154" s="2" t="str">
        <f>Messy_Data!U154</f>
        <v>ON HOLD</v>
      </c>
      <c r="Q154" s="2">
        <f ca="1">Messy_Data!V154</f>
        <v>295</v>
      </c>
      <c r="R154" s="2">
        <f ca="1">Messy_Data!W154</f>
        <v>9</v>
      </c>
      <c r="S154" s="2">
        <f ca="1">Messy_Data!X154</f>
        <v>0</v>
      </c>
      <c r="T154" s="2"/>
      <c r="U154" s="2"/>
      <c r="V154" s="2"/>
      <c r="W154" s="9"/>
      <c r="X154" s="2"/>
      <c r="Y154" s="12"/>
      <c r="Z154" s="12"/>
      <c r="AA154" s="2" t="str">
        <f ca="1">Messy_Data!AA154</f>
        <v>CHECK</v>
      </c>
    </row>
    <row r="155" spans="1:27" x14ac:dyDescent="0.3">
      <c r="A155" s="2" t="str">
        <f>Messy_Data!B155</f>
        <v>EMP154</v>
      </c>
      <c r="B155" s="2" t="str">
        <f>Messy_Data!D155</f>
        <v>Neha</v>
      </c>
      <c r="C155" s="2" t="str">
        <f>Messy_Data!F155</f>
        <v>FINANCE</v>
      </c>
      <c r="D155" s="3">
        <f>Messy_Data!H155</f>
        <v>43621</v>
      </c>
      <c r="E155" s="3">
        <f ca="1">Messy_Data!J155</f>
        <v>46024</v>
      </c>
      <c r="F155" s="2">
        <f>Messy_Data!L155</f>
        <v>9553996952</v>
      </c>
      <c r="G155" s="2" t="str">
        <f>Messy_Data!N155</f>
        <v>ankit@company.com</v>
      </c>
      <c r="H155" s="12">
        <f>Messy_Data!O155</f>
        <v>57384</v>
      </c>
      <c r="I155" s="2" t="str">
        <f>Messy_Data!P155</f>
        <v>40K-60K</v>
      </c>
      <c r="J155" s="2"/>
      <c r="K155" s="2"/>
      <c r="L155" s="2"/>
      <c r="M155" s="2"/>
      <c r="N155" s="2"/>
      <c r="O155" s="2" t="str">
        <f>Messy_Data!S155</f>
        <v>M20</v>
      </c>
      <c r="P155" s="2" t="str">
        <f>Messy_Data!U155</f>
        <v>ON HOLD</v>
      </c>
      <c r="Q155" s="2">
        <f ca="1">Messy_Data!V155</f>
        <v>2403</v>
      </c>
      <c r="R155" s="2">
        <f ca="1">Messy_Data!W155</f>
        <v>78</v>
      </c>
      <c r="S155" s="2">
        <f ca="1">Messy_Data!X155</f>
        <v>6</v>
      </c>
      <c r="T155" s="2"/>
      <c r="U155" s="2"/>
      <c r="V155" s="2"/>
      <c r="W155" s="9"/>
      <c r="X155" s="2"/>
      <c r="Y155" s="12"/>
      <c r="Z155" s="12"/>
      <c r="AA155" s="2" t="str">
        <f ca="1">Messy_Data!AA155</f>
        <v>OK</v>
      </c>
    </row>
    <row r="156" spans="1:27" x14ac:dyDescent="0.3">
      <c r="A156" s="2" t="str">
        <f>Messy_Data!B156</f>
        <v>EMP155</v>
      </c>
      <c r="B156" s="2" t="str">
        <f>Messy_Data!D156</f>
        <v>Neha</v>
      </c>
      <c r="C156" s="2" t="str">
        <f>Messy_Data!F156</f>
        <v>SALES</v>
      </c>
      <c r="D156" s="3">
        <f>Messy_Data!H156</f>
        <v>44624</v>
      </c>
      <c r="E156" s="3">
        <f ca="1">Messy_Data!J156</f>
        <v>45555</v>
      </c>
      <c r="F156" s="2">
        <f>Messy_Data!L156</f>
        <v>9360637312</v>
      </c>
      <c r="G156" s="2" t="str">
        <f>Messy_Data!N156</f>
        <v>suresh@company.com</v>
      </c>
      <c r="H156" s="12">
        <f>Messy_Data!O156</f>
        <v>55815</v>
      </c>
      <c r="I156" s="2" t="str">
        <f>Messy_Data!P156</f>
        <v>40K-60K</v>
      </c>
      <c r="J156" s="2"/>
      <c r="K156" s="2"/>
      <c r="L156" s="2"/>
      <c r="M156" s="2"/>
      <c r="N156" s="2"/>
      <c r="O156" s="2" t="str">
        <f>Messy_Data!S156</f>
        <v>M19</v>
      </c>
      <c r="P156" s="2" t="str">
        <f>Messy_Data!U156</f>
        <v>ACTIVE</v>
      </c>
      <c r="Q156" s="2">
        <f ca="1">Messy_Data!V156</f>
        <v>931</v>
      </c>
      <c r="R156" s="2">
        <f ca="1">Messy_Data!W156</f>
        <v>30</v>
      </c>
      <c r="S156" s="2">
        <f ca="1">Messy_Data!X156</f>
        <v>2</v>
      </c>
      <c r="T156" s="2"/>
      <c r="U156" s="2"/>
      <c r="V156" s="2"/>
      <c r="W156" s="9"/>
      <c r="X156" s="2"/>
      <c r="Y156" s="12"/>
      <c r="Z156" s="12"/>
      <c r="AA156" s="2" t="str">
        <f ca="1">Messy_Data!AA156</f>
        <v>OK</v>
      </c>
    </row>
    <row r="157" spans="1:27" x14ac:dyDescent="0.3">
      <c r="A157" s="2" t="str">
        <f>Messy_Data!B157</f>
        <v>EMP156</v>
      </c>
      <c r="B157" s="2" t="str">
        <f>Messy_Data!D157</f>
        <v>Amit</v>
      </c>
      <c r="C157" s="2" t="str">
        <f>Messy_Data!F157</f>
        <v>SALES</v>
      </c>
      <c r="D157" s="3">
        <f>Messy_Data!H157</f>
        <v>44371</v>
      </c>
      <c r="E157" s="3">
        <f ca="1">Messy_Data!J157</f>
        <v>45400</v>
      </c>
      <c r="F157" s="2">
        <f>Messy_Data!L157</f>
        <v>9903418703</v>
      </c>
      <c r="G157" s="2" t="str">
        <f>Messy_Data!N157</f>
        <v>neha@company.com</v>
      </c>
      <c r="H157" s="12">
        <f>Messy_Data!O157</f>
        <v>32204</v>
      </c>
      <c r="I157" s="2" t="str">
        <f>Messy_Data!P157</f>
        <v>20K-40K</v>
      </c>
      <c r="J157" s="2"/>
      <c r="K157" s="2"/>
      <c r="L157" s="2"/>
      <c r="M157" s="2"/>
      <c r="N157" s="2"/>
      <c r="O157" s="2" t="str">
        <f>Messy_Data!S157</f>
        <v>M17</v>
      </c>
      <c r="P157" s="2" t="str">
        <f>Messy_Data!U157</f>
        <v>ON HOLD</v>
      </c>
      <c r="Q157" s="2">
        <f ca="1">Messy_Data!V157</f>
        <v>1029</v>
      </c>
      <c r="R157" s="2">
        <f ca="1">Messy_Data!W157</f>
        <v>33</v>
      </c>
      <c r="S157" s="2">
        <f ca="1">Messy_Data!X157</f>
        <v>2</v>
      </c>
      <c r="T157" s="2"/>
      <c r="U157" s="2"/>
      <c r="V157" s="2"/>
      <c r="W157" s="9"/>
      <c r="X157" s="2"/>
      <c r="Y157" s="12"/>
      <c r="Z157" s="12"/>
      <c r="AA157" s="2" t="str">
        <f ca="1">Messy_Data!AA157</f>
        <v>OK</v>
      </c>
    </row>
    <row r="158" spans="1:27" x14ac:dyDescent="0.3">
      <c r="A158" s="2" t="str">
        <f>Messy_Data!B158</f>
        <v>EMP157</v>
      </c>
      <c r="B158" s="2" t="str">
        <f>Messy_Data!D158</f>
        <v>Ankit</v>
      </c>
      <c r="C158" s="2" t="str">
        <f>Messy_Data!F158</f>
        <v>FINANCE</v>
      </c>
      <c r="D158" s="3">
        <f>Messy_Data!H158</f>
        <v>45206</v>
      </c>
      <c r="E158" s="3">
        <f ca="1">Messy_Data!J158</f>
        <v>46148</v>
      </c>
      <c r="F158" s="2">
        <f>Messy_Data!L158</f>
        <v>9403672175</v>
      </c>
      <c r="G158" s="2" t="str">
        <f>Messy_Data!N158</f>
        <v>vikas@company.com</v>
      </c>
      <c r="H158" s="12">
        <f>Messy_Data!O158</f>
        <v>36157</v>
      </c>
      <c r="I158" s="2" t="str">
        <f>Messy_Data!P158</f>
        <v>20K-40K</v>
      </c>
      <c r="J158" s="2"/>
      <c r="K158" s="2"/>
      <c r="L158" s="2"/>
      <c r="M158" s="2"/>
      <c r="N158" s="2"/>
      <c r="O158" s="2" t="str">
        <f>Messy_Data!S158</f>
        <v>M5</v>
      </c>
      <c r="P158" s="2" t="str">
        <f>Messy_Data!U158</f>
        <v>ACTIVE</v>
      </c>
      <c r="Q158" s="2">
        <f ca="1">Messy_Data!V158</f>
        <v>942</v>
      </c>
      <c r="R158" s="2">
        <f ca="1">Messy_Data!W158</f>
        <v>30</v>
      </c>
      <c r="S158" s="2">
        <f ca="1">Messy_Data!X158</f>
        <v>2</v>
      </c>
      <c r="T158" s="2"/>
      <c r="U158" s="2"/>
      <c r="V158" s="2"/>
      <c r="W158" s="9"/>
      <c r="X158" s="2"/>
      <c r="Y158" s="12"/>
      <c r="Z158" s="12"/>
      <c r="AA158" s="2" t="str">
        <f ca="1">Messy_Data!AA158</f>
        <v>OK</v>
      </c>
    </row>
    <row r="159" spans="1:27" x14ac:dyDescent="0.3">
      <c r="A159" s="2" t="str">
        <f>Messy_Data!B159</f>
        <v>EMP158</v>
      </c>
      <c r="B159" s="2" t="str">
        <f>Messy_Data!D159</f>
        <v>Rahul</v>
      </c>
      <c r="C159" s="2" t="str">
        <f>Messy_Data!F159</f>
        <v>HR</v>
      </c>
      <c r="D159" s="3">
        <f>Messy_Data!H159</f>
        <v>44246</v>
      </c>
      <c r="E159" s="3">
        <f ca="1">Messy_Data!J159</f>
        <v>44360</v>
      </c>
      <c r="F159" s="2">
        <f>Messy_Data!L159</f>
        <v>9586009592</v>
      </c>
      <c r="G159" s="2" t="str">
        <f>Messy_Data!N159</f>
        <v>kiran@company.com</v>
      </c>
      <c r="H159" s="12">
        <f>Messy_Data!O159</f>
        <v>33924</v>
      </c>
      <c r="I159" s="2" t="str">
        <f>Messy_Data!P159</f>
        <v>20K-40K</v>
      </c>
      <c r="J159" s="2"/>
      <c r="K159" s="2"/>
      <c r="L159" s="2"/>
      <c r="M159" s="2"/>
      <c r="N159" s="2"/>
      <c r="O159" s="2" t="str">
        <f>Messy_Data!S159</f>
        <v>M2</v>
      </c>
      <c r="P159" s="2" t="str">
        <f>Messy_Data!U159</f>
        <v>ON HOLD</v>
      </c>
      <c r="Q159" s="2">
        <f ca="1">Messy_Data!V159</f>
        <v>114</v>
      </c>
      <c r="R159" s="2">
        <f ca="1">Messy_Data!W159</f>
        <v>3</v>
      </c>
      <c r="S159" s="2">
        <f ca="1">Messy_Data!X159</f>
        <v>0</v>
      </c>
      <c r="T159" s="2"/>
      <c r="U159" s="2"/>
      <c r="V159" s="2"/>
      <c r="W159" s="9"/>
      <c r="X159" s="2"/>
      <c r="Y159" s="12"/>
      <c r="Z159" s="12"/>
      <c r="AA159" s="2" t="str">
        <f ca="1">Messy_Data!AA159</f>
        <v>OK</v>
      </c>
    </row>
    <row r="160" spans="1:27" x14ac:dyDescent="0.3">
      <c r="A160" s="2" t="str">
        <f>Messy_Data!B160</f>
        <v>EMP159</v>
      </c>
      <c r="B160" s="2" t="str">
        <f>Messy_Data!D160</f>
        <v>Kiran</v>
      </c>
      <c r="C160" s="2" t="str">
        <f>Messy_Data!F160</f>
        <v>FINANCE</v>
      </c>
      <c r="D160" s="3">
        <f>Messy_Data!H160</f>
        <v>44425</v>
      </c>
      <c r="E160" s="3">
        <f ca="1">Messy_Data!J160</f>
        <v>44766</v>
      </c>
      <c r="F160" s="2">
        <f>Messy_Data!L160</f>
        <v>9305546097</v>
      </c>
      <c r="G160" s="2" t="str">
        <f>Messy_Data!N160</f>
        <v>suresh@company.com</v>
      </c>
      <c r="H160" s="12">
        <f>Messy_Data!O160</f>
        <v>20656</v>
      </c>
      <c r="I160" s="2" t="str">
        <f>Messy_Data!P160</f>
        <v>20K-40K</v>
      </c>
      <c r="J160" s="2"/>
      <c r="K160" s="2"/>
      <c r="L160" s="2"/>
      <c r="M160" s="2"/>
      <c r="N160" s="2"/>
      <c r="O160" s="2" t="str">
        <f>Messy_Data!S160</f>
        <v>M8</v>
      </c>
      <c r="P160" s="2" t="str">
        <f>Messy_Data!U160</f>
        <v>ACTIVE</v>
      </c>
      <c r="Q160" s="2">
        <f ca="1">Messy_Data!V160</f>
        <v>341</v>
      </c>
      <c r="R160" s="2">
        <f ca="1">Messy_Data!W160</f>
        <v>11</v>
      </c>
      <c r="S160" s="2">
        <f ca="1">Messy_Data!X160</f>
        <v>0</v>
      </c>
      <c r="T160" s="2"/>
      <c r="U160" s="2"/>
      <c r="V160" s="2"/>
      <c r="W160" s="9"/>
      <c r="X160" s="2"/>
      <c r="Y160" s="12"/>
      <c r="Z160" s="12"/>
      <c r="AA160" s="2" t="str">
        <f ca="1">Messy_Data!AA160</f>
        <v>OK</v>
      </c>
    </row>
    <row r="161" spans="1:27" x14ac:dyDescent="0.3">
      <c r="A161" s="2" t="str">
        <f>Messy_Data!B161</f>
        <v>EMP160</v>
      </c>
      <c r="B161" s="2" t="str">
        <f>Messy_Data!D161</f>
        <v>Vikas</v>
      </c>
      <c r="C161" s="2" t="str">
        <f>Messy_Data!F161</f>
        <v>SALES</v>
      </c>
      <c r="D161" s="3">
        <f>Messy_Data!H161</f>
        <v>44256</v>
      </c>
      <c r="E161" s="3">
        <f ca="1">Messy_Data!J161</f>
        <v>45040</v>
      </c>
      <c r="F161" s="2">
        <f>Messy_Data!L161</f>
        <v>9197805202</v>
      </c>
      <c r="G161" s="2" t="str">
        <f>Messy_Data!N161</f>
        <v>ravi@gmail.com</v>
      </c>
      <c r="H161" s="12">
        <f>Messy_Data!O161</f>
        <v>45014</v>
      </c>
      <c r="I161" s="2" t="str">
        <f>Messy_Data!P161</f>
        <v>40K-60K</v>
      </c>
      <c r="J161" s="2"/>
      <c r="K161" s="2"/>
      <c r="L161" s="2"/>
      <c r="M161" s="2"/>
      <c r="N161" s="2"/>
      <c r="O161" s="2" t="str">
        <f>Messy_Data!S161</f>
        <v>M23</v>
      </c>
      <c r="P161" s="2" t="str">
        <f>Messy_Data!U161</f>
        <v>RESIGNED</v>
      </c>
      <c r="Q161" s="2">
        <f ca="1">Messy_Data!V161</f>
        <v>784</v>
      </c>
      <c r="R161" s="2">
        <f ca="1">Messy_Data!W161</f>
        <v>25</v>
      </c>
      <c r="S161" s="2">
        <f ca="1">Messy_Data!X161</f>
        <v>2</v>
      </c>
      <c r="T161" s="2"/>
      <c r="U161" s="2"/>
      <c r="V161" s="2"/>
      <c r="W161" s="9"/>
      <c r="X161" s="2"/>
      <c r="Y161" s="12"/>
      <c r="Z161" s="12"/>
      <c r="AA161" s="2" t="str">
        <f ca="1">Messy_Data!AA161</f>
        <v>OK</v>
      </c>
    </row>
    <row r="162" spans="1:27" x14ac:dyDescent="0.3">
      <c r="A162" s="2" t="str">
        <f>Messy_Data!B162</f>
        <v>EMP161</v>
      </c>
      <c r="B162" s="2" t="str">
        <f>Messy_Data!D162</f>
        <v>Amit</v>
      </c>
      <c r="C162" s="2" t="str">
        <f>Messy_Data!F162</f>
        <v>HR</v>
      </c>
      <c r="D162" s="3">
        <f>Messy_Data!H162</f>
        <v>44624</v>
      </c>
      <c r="E162" s="3">
        <f ca="1">Messy_Data!J162</f>
        <v>46024</v>
      </c>
      <c r="F162" s="2">
        <f>Messy_Data!L162</f>
        <v>9321019621</v>
      </c>
      <c r="G162" s="2" t="str">
        <f>Messy_Data!N162</f>
        <v>pooja@company.com</v>
      </c>
      <c r="H162" s="12">
        <f>Messy_Data!O162</f>
        <v>34705</v>
      </c>
      <c r="I162" s="2" t="str">
        <f>Messy_Data!P162</f>
        <v>20K-40K</v>
      </c>
      <c r="J162" s="2"/>
      <c r="K162" s="2"/>
      <c r="L162" s="2"/>
      <c r="M162" s="2"/>
      <c r="N162" s="2"/>
      <c r="O162" s="2" t="str">
        <f>Messy_Data!S162</f>
        <v>M14</v>
      </c>
      <c r="P162" s="2" t="str">
        <f>Messy_Data!U162</f>
        <v>ON HOLD</v>
      </c>
      <c r="Q162" s="2">
        <f ca="1">Messy_Data!V162</f>
        <v>1400</v>
      </c>
      <c r="R162" s="2">
        <f ca="1">Messy_Data!W162</f>
        <v>45</v>
      </c>
      <c r="S162" s="2">
        <f ca="1">Messy_Data!X162</f>
        <v>3</v>
      </c>
      <c r="T162" s="2"/>
      <c r="U162" s="2"/>
      <c r="V162" s="2"/>
      <c r="W162" s="9"/>
      <c r="X162" s="2"/>
      <c r="Y162" s="12"/>
      <c r="Z162" s="12"/>
      <c r="AA162" s="2" t="str">
        <f ca="1">Messy_Data!AA162</f>
        <v>OK</v>
      </c>
    </row>
    <row r="163" spans="1:27" x14ac:dyDescent="0.3">
      <c r="A163" s="2" t="str">
        <f>Messy_Data!B163</f>
        <v>EMP162</v>
      </c>
      <c r="B163" s="2" t="str">
        <f>Messy_Data!D163</f>
        <v>Ankit</v>
      </c>
      <c r="C163" s="2" t="str">
        <f>Messy_Data!F163</f>
        <v>SALES</v>
      </c>
      <c r="D163" s="3">
        <f>Messy_Data!H163</f>
        <v>44066</v>
      </c>
      <c r="E163" s="3">
        <f ca="1">Messy_Data!J163</f>
        <v>45556</v>
      </c>
      <c r="F163" s="2">
        <f>Messy_Data!L163</f>
        <v>9922103068</v>
      </c>
      <c r="G163" s="2" t="str">
        <f>Messy_Data!N163</f>
        <v>amit@company.com</v>
      </c>
      <c r="H163" s="12">
        <f>Messy_Data!O163</f>
        <v>15298</v>
      </c>
      <c r="I163" s="2" t="str">
        <f>Messy_Data!P163</f>
        <v>Below 20K</v>
      </c>
      <c r="J163" s="2"/>
      <c r="K163" s="2"/>
      <c r="L163" s="2"/>
      <c r="M163" s="2"/>
      <c r="N163" s="2"/>
      <c r="O163" s="2" t="str">
        <f>Messy_Data!S163</f>
        <v>M12</v>
      </c>
      <c r="P163" s="2" t="str">
        <f>Messy_Data!U163</f>
        <v>ON HOLD</v>
      </c>
      <c r="Q163" s="2">
        <f ca="1">Messy_Data!V163</f>
        <v>1490</v>
      </c>
      <c r="R163" s="2">
        <f ca="1">Messy_Data!W163</f>
        <v>48</v>
      </c>
      <c r="S163" s="2">
        <f ca="1">Messy_Data!X163</f>
        <v>4</v>
      </c>
      <c r="T163" s="2"/>
      <c r="U163" s="2"/>
      <c r="V163" s="2"/>
      <c r="W163" s="9"/>
      <c r="X163" s="2"/>
      <c r="Y163" s="12"/>
      <c r="Z163" s="12"/>
      <c r="AA163" s="2" t="str">
        <f ca="1">Messy_Data!AA163</f>
        <v>OK</v>
      </c>
    </row>
    <row r="164" spans="1:27" x14ac:dyDescent="0.3">
      <c r="A164" s="2" t="str">
        <f>Messy_Data!B164</f>
        <v>EMP163</v>
      </c>
      <c r="B164" s="2" t="str">
        <f>Messy_Data!D164</f>
        <v>Kiran</v>
      </c>
      <c r="C164" s="2" t="str">
        <f>Messy_Data!F164</f>
        <v>IT</v>
      </c>
      <c r="D164" s="3">
        <f>Messy_Data!H164</f>
        <v>44701</v>
      </c>
      <c r="E164" s="3">
        <f ca="1">Messy_Data!J164</f>
        <v>45638</v>
      </c>
      <c r="F164" s="2">
        <f>Messy_Data!L164</f>
        <v>9419965013</v>
      </c>
      <c r="G164" s="2" t="str">
        <f>Messy_Data!N164</f>
        <v>ankit@company.com</v>
      </c>
      <c r="H164" s="12">
        <f>Messy_Data!O164</f>
        <v>24099</v>
      </c>
      <c r="I164" s="2" t="str">
        <f>Messy_Data!P164</f>
        <v>20K-40K</v>
      </c>
      <c r="J164" s="2"/>
      <c r="K164" s="2"/>
      <c r="L164" s="2"/>
      <c r="M164" s="2"/>
      <c r="N164" s="2"/>
      <c r="O164" s="2" t="str">
        <f>Messy_Data!S164</f>
        <v>M23</v>
      </c>
      <c r="P164" s="2" t="str">
        <f>Messy_Data!U164</f>
        <v>ACTIVE</v>
      </c>
      <c r="Q164" s="2">
        <f ca="1">Messy_Data!V164</f>
        <v>937</v>
      </c>
      <c r="R164" s="2">
        <f ca="1">Messy_Data!W164</f>
        <v>30</v>
      </c>
      <c r="S164" s="2">
        <f ca="1">Messy_Data!X164</f>
        <v>2</v>
      </c>
      <c r="T164" s="2"/>
      <c r="U164" s="2"/>
      <c r="V164" s="2"/>
      <c r="W164" s="9"/>
      <c r="X164" s="2"/>
      <c r="Y164" s="12"/>
      <c r="Z164" s="12"/>
      <c r="AA164" s="2" t="str">
        <f ca="1">Messy_Data!AA164</f>
        <v>OK</v>
      </c>
    </row>
    <row r="165" spans="1:27" x14ac:dyDescent="0.3">
      <c r="A165" s="2" t="str">
        <f>Messy_Data!B165</f>
        <v>EMP164</v>
      </c>
      <c r="B165" s="2" t="str">
        <f>Messy_Data!D165</f>
        <v>Kiran</v>
      </c>
      <c r="C165" s="2" t="str">
        <f>Messy_Data!F165</f>
        <v>HR</v>
      </c>
      <c r="D165" s="3">
        <f>Messy_Data!H165</f>
        <v>44793</v>
      </c>
      <c r="E165" s="3">
        <f ca="1">Messy_Data!J165</f>
        <v>45700</v>
      </c>
      <c r="F165" s="2">
        <f>Messy_Data!L165</f>
        <v>9935521152</v>
      </c>
      <c r="G165" s="2" t="str">
        <f>Messy_Data!N165</f>
        <v>suresh@company.com</v>
      </c>
      <c r="H165" s="12">
        <f>Messy_Data!O165</f>
        <v>56644</v>
      </c>
      <c r="I165" s="2" t="str">
        <f>Messy_Data!P165</f>
        <v>40K-60K</v>
      </c>
      <c r="J165" s="2"/>
      <c r="K165" s="2"/>
      <c r="L165" s="2"/>
      <c r="M165" s="2"/>
      <c r="N165" s="2"/>
      <c r="O165" s="2" t="str">
        <f>Messy_Data!S165</f>
        <v>M21</v>
      </c>
      <c r="P165" s="2" t="str">
        <f>Messy_Data!U165</f>
        <v>ON HOLD</v>
      </c>
      <c r="Q165" s="2">
        <f ca="1">Messy_Data!V165</f>
        <v>907</v>
      </c>
      <c r="R165" s="2">
        <f ca="1">Messy_Data!W165</f>
        <v>29</v>
      </c>
      <c r="S165" s="2">
        <f ca="1">Messy_Data!X165</f>
        <v>2</v>
      </c>
      <c r="T165" s="2"/>
      <c r="U165" s="2"/>
      <c r="V165" s="2"/>
      <c r="W165" s="9"/>
      <c r="X165" s="2"/>
      <c r="Y165" s="12"/>
      <c r="Z165" s="12"/>
      <c r="AA165" s="2" t="str">
        <f ca="1">Messy_Data!AA165</f>
        <v>OK</v>
      </c>
    </row>
    <row r="166" spans="1:27" x14ac:dyDescent="0.3">
      <c r="A166" s="2" t="str">
        <f>Messy_Data!B166</f>
        <v>EMP165</v>
      </c>
      <c r="B166" s="2" t="str">
        <f>Messy_Data!D166</f>
        <v>Rahul</v>
      </c>
      <c r="C166" s="2" t="str">
        <f>Messy_Data!F166</f>
        <v>FINANCE</v>
      </c>
      <c r="D166" s="3">
        <f>Messy_Data!H166</f>
        <v>44166</v>
      </c>
      <c r="E166" s="3">
        <f ca="1">Messy_Data!J166</f>
        <v>45580</v>
      </c>
      <c r="F166" s="2">
        <f>Messy_Data!L166</f>
        <v>9517257798</v>
      </c>
      <c r="G166" s="2" t="str">
        <f>Messy_Data!N166</f>
        <v>amit@company.com</v>
      </c>
      <c r="H166" s="12">
        <f>Messy_Data!O166</f>
        <v>58303</v>
      </c>
      <c r="I166" s="2" t="str">
        <f>Messy_Data!P166</f>
        <v>40K-60K</v>
      </c>
      <c r="J166" s="2"/>
      <c r="K166" s="2"/>
      <c r="L166" s="2"/>
      <c r="M166" s="2"/>
      <c r="N166" s="2"/>
      <c r="O166" s="2" t="str">
        <f>Messy_Data!S166</f>
        <v>M2</v>
      </c>
      <c r="P166" s="2" t="str">
        <f>Messy_Data!U166</f>
        <v>ACTIVE</v>
      </c>
      <c r="Q166" s="2">
        <f ca="1">Messy_Data!V166</f>
        <v>1414</v>
      </c>
      <c r="R166" s="2">
        <f ca="1">Messy_Data!W166</f>
        <v>46</v>
      </c>
      <c r="S166" s="2">
        <f ca="1">Messy_Data!X166</f>
        <v>3</v>
      </c>
      <c r="T166" s="2"/>
      <c r="U166" s="2"/>
      <c r="V166" s="2"/>
      <c r="W166" s="9"/>
      <c r="X166" s="2"/>
      <c r="Y166" s="12"/>
      <c r="Z166" s="12"/>
      <c r="AA166" s="2" t="str">
        <f ca="1">Messy_Data!AA166</f>
        <v>OK</v>
      </c>
    </row>
    <row r="167" spans="1:27" x14ac:dyDescent="0.3">
      <c r="A167" s="2" t="str">
        <f>Messy_Data!B167</f>
        <v>EMP166</v>
      </c>
      <c r="B167" s="2" t="str">
        <f>Messy_Data!D167</f>
        <v>Ankit</v>
      </c>
      <c r="C167" s="2" t="str">
        <f>Messy_Data!F167</f>
        <v>IT</v>
      </c>
      <c r="D167" s="3">
        <f>Messy_Data!H167</f>
        <v>43912</v>
      </c>
      <c r="E167" s="3">
        <f ca="1">Messy_Data!J167</f>
        <v>44731</v>
      </c>
      <c r="F167" s="2">
        <f>Messy_Data!L167</f>
        <v>9134367329</v>
      </c>
      <c r="G167" s="2" t="str">
        <f>Messy_Data!N167</f>
        <v>pooja@company.com</v>
      </c>
      <c r="H167" s="12">
        <f>Messy_Data!O167</f>
        <v>29967</v>
      </c>
      <c r="I167" s="2" t="str">
        <f>Messy_Data!P167</f>
        <v>20K-40K</v>
      </c>
      <c r="J167" s="2"/>
      <c r="K167" s="2"/>
      <c r="L167" s="2"/>
      <c r="M167" s="2"/>
      <c r="N167" s="2"/>
      <c r="O167" s="2" t="str">
        <f>Messy_Data!S167</f>
        <v>M12</v>
      </c>
      <c r="P167" s="2" t="str">
        <f>Messy_Data!U167</f>
        <v>ACTIVE</v>
      </c>
      <c r="Q167" s="2">
        <f ca="1">Messy_Data!V167</f>
        <v>819</v>
      </c>
      <c r="R167" s="2">
        <f ca="1">Messy_Data!W167</f>
        <v>26</v>
      </c>
      <c r="S167" s="2">
        <f ca="1">Messy_Data!X167</f>
        <v>2</v>
      </c>
      <c r="T167" s="2"/>
      <c r="U167" s="2"/>
      <c r="V167" s="2"/>
      <c r="W167" s="9"/>
      <c r="X167" s="2"/>
      <c r="Y167" s="12"/>
      <c r="Z167" s="12"/>
      <c r="AA167" s="2" t="str">
        <f ca="1">Messy_Data!AA167</f>
        <v>OK</v>
      </c>
    </row>
    <row r="168" spans="1:27" x14ac:dyDescent="0.3">
      <c r="A168" s="2" t="str">
        <f>Messy_Data!B168</f>
        <v>EMP167</v>
      </c>
      <c r="B168" s="2" t="str">
        <f>Messy_Data!D168</f>
        <v>Kiran</v>
      </c>
      <c r="C168" s="2" t="str">
        <f>Messy_Data!F168</f>
        <v>SALES</v>
      </c>
      <c r="D168" s="3">
        <f>Messy_Data!H168</f>
        <v>44799</v>
      </c>
      <c r="E168" s="3">
        <f ca="1">Messy_Data!J168</f>
        <v>45971</v>
      </c>
      <c r="F168" s="2">
        <f>Messy_Data!L168</f>
        <v>9518555401</v>
      </c>
      <c r="G168" s="2" t="str">
        <f>Messy_Data!N168</f>
        <v>pooja@company.com</v>
      </c>
      <c r="H168" s="12">
        <f>Messy_Data!O168</f>
        <v>13035</v>
      </c>
      <c r="I168" s="2" t="str">
        <f>Messy_Data!P168</f>
        <v>Below 20K</v>
      </c>
      <c r="J168" s="2"/>
      <c r="K168" s="2"/>
      <c r="L168" s="2"/>
      <c r="M168" s="2"/>
      <c r="N168" s="2"/>
      <c r="O168" s="2" t="str">
        <f>Messy_Data!S168</f>
        <v>M1</v>
      </c>
      <c r="P168" s="2" t="str">
        <f>Messy_Data!U168</f>
        <v>RESIGNED</v>
      </c>
      <c r="Q168" s="2">
        <f ca="1">Messy_Data!V168</f>
        <v>1172</v>
      </c>
      <c r="R168" s="2">
        <f ca="1">Messy_Data!W168</f>
        <v>38</v>
      </c>
      <c r="S168" s="2">
        <f ca="1">Messy_Data!X168</f>
        <v>3</v>
      </c>
      <c r="T168" s="2"/>
      <c r="U168" s="2"/>
      <c r="V168" s="2"/>
      <c r="W168" s="9"/>
      <c r="X168" s="2"/>
      <c r="Y168" s="12"/>
      <c r="Z168" s="12"/>
      <c r="AA168" s="2" t="str">
        <f ca="1">Messy_Data!AA168</f>
        <v>OK</v>
      </c>
    </row>
    <row r="169" spans="1:27" x14ac:dyDescent="0.3">
      <c r="A169" s="2" t="str">
        <f>Messy_Data!B169</f>
        <v>EMP168</v>
      </c>
      <c r="B169" s="2" t="str">
        <f>Messy_Data!D169</f>
        <v>Rahul</v>
      </c>
      <c r="C169" s="2" t="str">
        <f>Messy_Data!F169</f>
        <v>HR</v>
      </c>
      <c r="D169" s="3">
        <f>Messy_Data!H169</f>
        <v>43922</v>
      </c>
      <c r="E169" s="3">
        <f ca="1">Messy_Data!J169</f>
        <v>46024</v>
      </c>
      <c r="F169" s="2">
        <f>Messy_Data!L169</f>
        <v>9102133323</v>
      </c>
      <c r="G169" s="2" t="str">
        <f>Messy_Data!N169</f>
        <v>vikas@gmail.com</v>
      </c>
      <c r="H169" s="12">
        <f>Messy_Data!O169</f>
        <v>77926</v>
      </c>
      <c r="I169" s="2" t="str">
        <f>Messy_Data!P169</f>
        <v>60K-80K</v>
      </c>
      <c r="J169" s="2"/>
      <c r="K169" s="2"/>
      <c r="L169" s="2"/>
      <c r="M169" s="2"/>
      <c r="N169" s="2"/>
      <c r="O169" s="2" t="str">
        <f>Messy_Data!S169</f>
        <v>M8</v>
      </c>
      <c r="P169" s="2" t="str">
        <f>Messy_Data!U169</f>
        <v>ACTIVE</v>
      </c>
      <c r="Q169" s="2">
        <f ca="1">Messy_Data!V169</f>
        <v>2102</v>
      </c>
      <c r="R169" s="2">
        <f ca="1">Messy_Data!W169</f>
        <v>69</v>
      </c>
      <c r="S169" s="2">
        <f ca="1">Messy_Data!X169</f>
        <v>5</v>
      </c>
      <c r="T169" s="2"/>
      <c r="U169" s="2"/>
      <c r="V169" s="2"/>
      <c r="W169" s="9"/>
      <c r="X169" s="2"/>
      <c r="Y169" s="12"/>
      <c r="Z169" s="12"/>
      <c r="AA169" s="2" t="str">
        <f ca="1">Messy_Data!AA169</f>
        <v>OK</v>
      </c>
    </row>
    <row r="170" spans="1:27" x14ac:dyDescent="0.3">
      <c r="A170" s="2" t="str">
        <f>Messy_Data!B170</f>
        <v>EMP169</v>
      </c>
      <c r="B170" s="2" t="str">
        <f>Messy_Data!D170</f>
        <v>Sunita</v>
      </c>
      <c r="C170" s="2" t="str">
        <f>Messy_Data!F170</f>
        <v>FINANCE</v>
      </c>
      <c r="D170" s="3">
        <f>Messy_Data!H170</f>
        <v>45249</v>
      </c>
      <c r="E170" s="3">
        <f ca="1">Messy_Data!J170</f>
        <v>45792</v>
      </c>
      <c r="F170" s="2">
        <f>Messy_Data!L170</f>
        <v>9386403889</v>
      </c>
      <c r="G170" s="2" t="str">
        <f>Messy_Data!N170</f>
        <v>ravi@company.com</v>
      </c>
      <c r="H170" s="12">
        <f>Messy_Data!O170</f>
        <v>74500</v>
      </c>
      <c r="I170" s="2" t="str">
        <f>Messy_Data!P170</f>
        <v>60K-80K</v>
      </c>
      <c r="J170" s="2"/>
      <c r="K170" s="2"/>
      <c r="L170" s="2"/>
      <c r="M170" s="2"/>
      <c r="N170" s="2"/>
      <c r="O170" s="2" t="str">
        <f>Messy_Data!S170</f>
        <v>M15</v>
      </c>
      <c r="P170" s="2" t="str">
        <f>Messy_Data!U170</f>
        <v>RESIGNED</v>
      </c>
      <c r="Q170" s="2">
        <f ca="1">Messy_Data!V170</f>
        <v>543</v>
      </c>
      <c r="R170" s="2">
        <f ca="1">Messy_Data!W170</f>
        <v>17</v>
      </c>
      <c r="S170" s="2">
        <f ca="1">Messy_Data!X170</f>
        <v>1</v>
      </c>
      <c r="T170" s="2"/>
      <c r="U170" s="2"/>
      <c r="V170" s="2"/>
      <c r="W170" s="9"/>
      <c r="X170" s="2"/>
      <c r="Y170" s="12"/>
      <c r="Z170" s="12"/>
      <c r="AA170" s="2" t="str">
        <f ca="1">Messy_Data!AA170</f>
        <v>OK</v>
      </c>
    </row>
    <row r="171" spans="1:27" x14ac:dyDescent="0.3">
      <c r="A171" s="2" t="str">
        <f>Messy_Data!B171</f>
        <v>EMP170</v>
      </c>
      <c r="B171" s="2" t="str">
        <f>Messy_Data!D171</f>
        <v>Sunita</v>
      </c>
      <c r="C171" s="2" t="str">
        <f>Messy_Data!F171</f>
        <v>HR</v>
      </c>
      <c r="D171" s="3">
        <f>Messy_Data!H171</f>
        <v>45184</v>
      </c>
      <c r="E171" s="3">
        <f ca="1">Messy_Data!J171</f>
        <v>45322</v>
      </c>
      <c r="F171" s="2">
        <f>Messy_Data!L171</f>
        <v>9713815464</v>
      </c>
      <c r="G171" s="2" t="str">
        <f>Messy_Data!N171</f>
        <v>kiran@company.com</v>
      </c>
      <c r="H171" s="12">
        <f>Messy_Data!O171</f>
        <v>45570</v>
      </c>
      <c r="I171" s="2" t="str">
        <f>Messy_Data!P171</f>
        <v>40K-60K</v>
      </c>
      <c r="J171" s="2"/>
      <c r="K171" s="2"/>
      <c r="L171" s="2"/>
      <c r="M171" s="2"/>
      <c r="N171" s="2"/>
      <c r="O171" s="2" t="str">
        <f>Messy_Data!S171</f>
        <v>M25</v>
      </c>
      <c r="P171" s="2" t="str">
        <f>Messy_Data!U171</f>
        <v>ACTIVE</v>
      </c>
      <c r="Q171" s="2">
        <f ca="1">Messy_Data!V171</f>
        <v>138</v>
      </c>
      <c r="R171" s="2">
        <f ca="1">Messy_Data!W171</f>
        <v>4</v>
      </c>
      <c r="S171" s="2">
        <f ca="1">Messy_Data!X171</f>
        <v>0</v>
      </c>
      <c r="T171" s="2"/>
      <c r="U171" s="2"/>
      <c r="V171" s="2"/>
      <c r="W171" s="9"/>
      <c r="X171" s="2"/>
      <c r="Y171" s="12"/>
      <c r="Z171" s="12"/>
      <c r="AA171" s="2" t="str">
        <f ca="1">Messy_Data!AA171</f>
        <v>OK</v>
      </c>
    </row>
    <row r="172" spans="1:27" x14ac:dyDescent="0.3">
      <c r="A172" s="2" t="str">
        <f>Messy_Data!B172</f>
        <v>EMP171</v>
      </c>
      <c r="B172" s="2" t="str">
        <f>Messy_Data!D172</f>
        <v>Suresh</v>
      </c>
      <c r="C172" s="2" t="str">
        <f>Messy_Data!F172</f>
        <v>HR</v>
      </c>
      <c r="D172" s="3">
        <f>Messy_Data!H172</f>
        <v>45030</v>
      </c>
      <c r="E172" s="3">
        <f ca="1">Messy_Data!J172</f>
        <v>46326</v>
      </c>
      <c r="F172" s="2">
        <f>Messy_Data!L172</f>
        <v>9882599569</v>
      </c>
      <c r="G172" s="2" t="str">
        <f>Messy_Data!N172</f>
        <v>sunita@company.com</v>
      </c>
      <c r="H172" s="12">
        <f>Messy_Data!O172</f>
        <v>41128</v>
      </c>
      <c r="I172" s="2" t="str">
        <f>Messy_Data!P172</f>
        <v>40K-60K</v>
      </c>
      <c r="J172" s="2"/>
      <c r="K172" s="2"/>
      <c r="L172" s="2"/>
      <c r="M172" s="2"/>
      <c r="N172" s="2"/>
      <c r="O172" s="2" t="str">
        <f>Messy_Data!S172</f>
        <v>M10</v>
      </c>
      <c r="P172" s="2" t="str">
        <f>Messy_Data!U172</f>
        <v>ON HOLD</v>
      </c>
      <c r="Q172" s="2">
        <f ca="1">Messy_Data!V172</f>
        <v>1296</v>
      </c>
      <c r="R172" s="2">
        <f ca="1">Messy_Data!W172</f>
        <v>42</v>
      </c>
      <c r="S172" s="2">
        <f ca="1">Messy_Data!X172</f>
        <v>3</v>
      </c>
      <c r="T172" s="2"/>
      <c r="U172" s="2"/>
      <c r="V172" s="2"/>
      <c r="W172" s="9"/>
      <c r="X172" s="2"/>
      <c r="Y172" s="12"/>
      <c r="Z172" s="12"/>
      <c r="AA172" s="2" t="str">
        <f ca="1">Messy_Data!AA172</f>
        <v>OK</v>
      </c>
    </row>
    <row r="173" spans="1:27" x14ac:dyDescent="0.3">
      <c r="A173" s="2" t="str">
        <f>Messy_Data!B173</f>
        <v>EMP172</v>
      </c>
      <c r="B173" s="2" t="str">
        <f>Messy_Data!D173</f>
        <v>Suresh</v>
      </c>
      <c r="C173" s="2" t="str">
        <f>Messy_Data!F173</f>
        <v>IT</v>
      </c>
      <c r="D173" s="3">
        <f>Messy_Data!H173</f>
        <v>44171</v>
      </c>
      <c r="E173" s="3">
        <f ca="1">Messy_Data!J173</f>
        <v>44381</v>
      </c>
      <c r="F173" s="2">
        <f>Messy_Data!L173</f>
        <v>9671338855</v>
      </c>
      <c r="G173" s="2" t="str">
        <f>Messy_Data!N173</f>
        <v>vikas@company.com</v>
      </c>
      <c r="H173" s="12">
        <f>Messy_Data!O173</f>
        <v>46858</v>
      </c>
      <c r="I173" s="2" t="str">
        <f>Messy_Data!P173</f>
        <v>40K-60K</v>
      </c>
      <c r="J173" s="2"/>
      <c r="K173" s="2"/>
      <c r="L173" s="2"/>
      <c r="M173" s="2"/>
      <c r="N173" s="2"/>
      <c r="O173" s="2" t="str">
        <f>Messy_Data!S173</f>
        <v>M2</v>
      </c>
      <c r="P173" s="2" t="str">
        <f>Messy_Data!U173</f>
        <v>RESIGNED</v>
      </c>
      <c r="Q173" s="2">
        <f ca="1">Messy_Data!V173</f>
        <v>210</v>
      </c>
      <c r="R173" s="2">
        <f ca="1">Messy_Data!W173</f>
        <v>6</v>
      </c>
      <c r="S173" s="2">
        <f ca="1">Messy_Data!X173</f>
        <v>0</v>
      </c>
      <c r="T173" s="2"/>
      <c r="U173" s="2"/>
      <c r="V173" s="2"/>
      <c r="W173" s="9"/>
      <c r="X173" s="2"/>
      <c r="Y173" s="12"/>
      <c r="Z173" s="12"/>
      <c r="AA173" s="2" t="str">
        <f ca="1">Messy_Data!AA173</f>
        <v>OK</v>
      </c>
    </row>
    <row r="174" spans="1:27" x14ac:dyDescent="0.3">
      <c r="A174" s="2" t="str">
        <f>Messy_Data!B174</f>
        <v>EMP173</v>
      </c>
      <c r="B174" s="2" t="str">
        <f>Messy_Data!D174</f>
        <v>Ravi</v>
      </c>
      <c r="C174" s="2" t="str">
        <f>Messy_Data!F174</f>
        <v>IT</v>
      </c>
      <c r="D174" s="3">
        <f>Messy_Data!H174</f>
        <v>44150</v>
      </c>
      <c r="E174" s="3">
        <f ca="1">Messy_Data!J174</f>
        <v>44722</v>
      </c>
      <c r="F174" s="2">
        <f>Messy_Data!L174</f>
        <v>9392957920</v>
      </c>
      <c r="G174" s="2" t="str">
        <f>Messy_Data!N174</f>
        <v>kiran@company.com</v>
      </c>
      <c r="H174" s="12">
        <f>Messy_Data!O174</f>
        <v>81651</v>
      </c>
      <c r="I174" s="2" t="str">
        <f>Messy_Data!P174</f>
        <v>Above 80K</v>
      </c>
      <c r="J174" s="2"/>
      <c r="K174" s="2"/>
      <c r="L174" s="2"/>
      <c r="M174" s="2"/>
      <c r="N174" s="2"/>
      <c r="O174" s="2" t="str">
        <f>Messy_Data!S174</f>
        <v>M7</v>
      </c>
      <c r="P174" s="2" t="str">
        <f>Messy_Data!U174</f>
        <v>ACTIVE</v>
      </c>
      <c r="Q174" s="2">
        <f ca="1">Messy_Data!V174</f>
        <v>572</v>
      </c>
      <c r="R174" s="2">
        <f ca="1">Messy_Data!W174</f>
        <v>18</v>
      </c>
      <c r="S174" s="2">
        <f ca="1">Messy_Data!X174</f>
        <v>1</v>
      </c>
      <c r="T174" s="2"/>
      <c r="U174" s="2"/>
      <c r="V174" s="2"/>
      <c r="W174" s="9"/>
      <c r="X174" s="2"/>
      <c r="Y174" s="12"/>
      <c r="Z174" s="12"/>
      <c r="AA174" s="2" t="str">
        <f ca="1">Messy_Data!AA174</f>
        <v>CHECK</v>
      </c>
    </row>
    <row r="175" spans="1:27" x14ac:dyDescent="0.3">
      <c r="A175" s="2" t="str">
        <f>Messy_Data!B175</f>
        <v>EMP174</v>
      </c>
      <c r="B175" s="2" t="str">
        <f>Messy_Data!D175</f>
        <v>Ankit</v>
      </c>
      <c r="C175" s="2" t="str">
        <f>Messy_Data!F175</f>
        <v>SALES</v>
      </c>
      <c r="D175" s="3">
        <f>Messy_Data!H175</f>
        <v>45094</v>
      </c>
      <c r="E175" s="3">
        <f ca="1">Messy_Data!J175</f>
        <v>46274</v>
      </c>
      <c r="F175" s="2">
        <f>Messy_Data!L175</f>
        <v>9555201280</v>
      </c>
      <c r="G175" s="2" t="str">
        <f>Messy_Data!N175</f>
        <v>kiran@company.com</v>
      </c>
      <c r="H175" s="12">
        <f>Messy_Data!O175</f>
        <v>67106</v>
      </c>
      <c r="I175" s="2" t="str">
        <f>Messy_Data!P175</f>
        <v>60K-80K</v>
      </c>
      <c r="J175" s="2"/>
      <c r="K175" s="2"/>
      <c r="L175" s="2"/>
      <c r="M175" s="2"/>
      <c r="N175" s="2"/>
      <c r="O175" s="2" t="str">
        <f>Messy_Data!S175</f>
        <v>M6</v>
      </c>
      <c r="P175" s="2" t="str">
        <f>Messy_Data!U175</f>
        <v>ACTIVE</v>
      </c>
      <c r="Q175" s="2">
        <f ca="1">Messy_Data!V175</f>
        <v>1180</v>
      </c>
      <c r="R175" s="2">
        <f ca="1">Messy_Data!W175</f>
        <v>38</v>
      </c>
      <c r="S175" s="2">
        <f ca="1">Messy_Data!X175</f>
        <v>3</v>
      </c>
      <c r="T175" s="2"/>
      <c r="U175" s="2"/>
      <c r="V175" s="2"/>
      <c r="W175" s="9"/>
      <c r="X175" s="2"/>
      <c r="Y175" s="12"/>
      <c r="Z175" s="12"/>
      <c r="AA175" s="2" t="str">
        <f ca="1">Messy_Data!AA175</f>
        <v>OK</v>
      </c>
    </row>
    <row r="176" spans="1:27" x14ac:dyDescent="0.3">
      <c r="A176" s="2" t="str">
        <f>Messy_Data!B176</f>
        <v>EMP175</v>
      </c>
      <c r="B176" s="2" t="str">
        <f>Messy_Data!D176</f>
        <v>Suresh</v>
      </c>
      <c r="C176" s="2" t="str">
        <f>Messy_Data!F176</f>
        <v>FINANCE</v>
      </c>
      <c r="D176" s="3">
        <f>Messy_Data!H176</f>
        <v>43527</v>
      </c>
      <c r="E176" s="3">
        <f ca="1">Messy_Data!J176</f>
        <v>46024</v>
      </c>
      <c r="F176" s="2">
        <f>Messy_Data!L176</f>
        <v>9345225931</v>
      </c>
      <c r="G176" s="2" t="str">
        <f>Messy_Data!N176</f>
        <v>amit@company.com</v>
      </c>
      <c r="H176" s="12">
        <f>Messy_Data!O176</f>
        <v>38618</v>
      </c>
      <c r="I176" s="2" t="str">
        <f>Messy_Data!P176</f>
        <v>20K-40K</v>
      </c>
      <c r="J176" s="2"/>
      <c r="K176" s="2"/>
      <c r="L176" s="2"/>
      <c r="M176" s="2"/>
      <c r="N176" s="2"/>
      <c r="O176" s="2" t="str">
        <f>Messy_Data!S176</f>
        <v>M8</v>
      </c>
      <c r="P176" s="2" t="str">
        <f>Messy_Data!U176</f>
        <v>RESIGNED</v>
      </c>
      <c r="Q176" s="2">
        <f ca="1">Messy_Data!V176</f>
        <v>2497</v>
      </c>
      <c r="R176" s="2">
        <f ca="1">Messy_Data!W176</f>
        <v>81</v>
      </c>
      <c r="S176" s="2">
        <f ca="1">Messy_Data!X176</f>
        <v>6</v>
      </c>
      <c r="T176" s="2"/>
      <c r="U176" s="2"/>
      <c r="V176" s="2"/>
      <c r="W176" s="9"/>
      <c r="X176" s="2"/>
      <c r="Y176" s="12"/>
      <c r="Z176" s="12"/>
      <c r="AA176" s="2" t="str">
        <f ca="1">Messy_Data!AA176</f>
        <v>OK</v>
      </c>
    </row>
    <row r="177" spans="1:27" x14ac:dyDescent="0.3">
      <c r="A177" s="2" t="str">
        <f>Messy_Data!B177</f>
        <v>EMP176</v>
      </c>
      <c r="B177" s="2" t="str">
        <f>Messy_Data!D177</f>
        <v>Pooja</v>
      </c>
      <c r="C177" s="2" t="str">
        <f>Messy_Data!F177</f>
        <v>HR</v>
      </c>
      <c r="D177" s="3">
        <f>Messy_Data!H177</f>
        <v>44284</v>
      </c>
      <c r="E177" s="3">
        <f ca="1">Messy_Data!J177</f>
        <v>45750</v>
      </c>
      <c r="F177" s="2">
        <f>Messy_Data!L177</f>
        <v>9480254634</v>
      </c>
      <c r="G177" s="2" t="str">
        <f>Messy_Data!N177</f>
        <v>kiran@gmail.com</v>
      </c>
      <c r="H177" s="12">
        <f>Messy_Data!O177</f>
        <v>81506</v>
      </c>
      <c r="I177" s="2" t="str">
        <f>Messy_Data!P177</f>
        <v>Above 80K</v>
      </c>
      <c r="J177" s="2"/>
      <c r="K177" s="2"/>
      <c r="L177" s="2"/>
      <c r="M177" s="2"/>
      <c r="N177" s="2"/>
      <c r="O177" s="2" t="str">
        <f>Messy_Data!S177</f>
        <v>M2</v>
      </c>
      <c r="P177" s="2" t="str">
        <f>Messy_Data!U177</f>
        <v>ACTIVE</v>
      </c>
      <c r="Q177" s="2">
        <f ca="1">Messy_Data!V177</f>
        <v>1466</v>
      </c>
      <c r="R177" s="2">
        <f ca="1">Messy_Data!W177</f>
        <v>48</v>
      </c>
      <c r="S177" s="2">
        <f ca="1">Messy_Data!X177</f>
        <v>4</v>
      </c>
      <c r="T177" s="2"/>
      <c r="U177" s="2"/>
      <c r="V177" s="2"/>
      <c r="W177" s="9"/>
      <c r="X177" s="2"/>
      <c r="Y177" s="12"/>
      <c r="Z177" s="12"/>
      <c r="AA177" s="2" t="str">
        <f ca="1">Messy_Data!AA177</f>
        <v>OK</v>
      </c>
    </row>
    <row r="178" spans="1:27" x14ac:dyDescent="0.3">
      <c r="A178" s="2" t="str">
        <f>Messy_Data!B178</f>
        <v>EMP177</v>
      </c>
      <c r="B178" s="2" t="str">
        <f>Messy_Data!D178</f>
        <v>Suresh</v>
      </c>
      <c r="C178" s="2" t="str">
        <f>Messy_Data!F178</f>
        <v>IT</v>
      </c>
      <c r="D178" s="3">
        <f>Messy_Data!H178</f>
        <v>44066</v>
      </c>
      <c r="E178" s="3">
        <f ca="1">Messy_Data!J178</f>
        <v>44313</v>
      </c>
      <c r="F178" s="2">
        <f>Messy_Data!L178</f>
        <v>9365764880</v>
      </c>
      <c r="G178" s="2" t="str">
        <f>Messy_Data!N178</f>
        <v>ankit@company.com</v>
      </c>
      <c r="H178" s="12">
        <f>Messy_Data!O178</f>
        <v>35548</v>
      </c>
      <c r="I178" s="2" t="str">
        <f>Messy_Data!P178</f>
        <v>20K-40K</v>
      </c>
      <c r="J178" s="2"/>
      <c r="K178" s="2"/>
      <c r="L178" s="2"/>
      <c r="M178" s="2"/>
      <c r="N178" s="2"/>
      <c r="O178" s="2" t="str">
        <f>Messy_Data!S178</f>
        <v>M1</v>
      </c>
      <c r="P178" s="2" t="str">
        <f>Messy_Data!U178</f>
        <v>ACTIVE</v>
      </c>
      <c r="Q178" s="2">
        <f ca="1">Messy_Data!V178</f>
        <v>247</v>
      </c>
      <c r="R178" s="2">
        <f ca="1">Messy_Data!W178</f>
        <v>8</v>
      </c>
      <c r="S178" s="2">
        <f ca="1">Messy_Data!X178</f>
        <v>0</v>
      </c>
      <c r="T178" s="2"/>
      <c r="U178" s="2"/>
      <c r="V178" s="2"/>
      <c r="W178" s="9"/>
      <c r="X178" s="2"/>
      <c r="Y178" s="12"/>
      <c r="Z178" s="12"/>
      <c r="AA178" s="2" t="str">
        <f ca="1">Messy_Data!AA178</f>
        <v>OK</v>
      </c>
    </row>
    <row r="179" spans="1:27" x14ac:dyDescent="0.3">
      <c r="A179" s="2" t="str">
        <f>Messy_Data!B179</f>
        <v>EMP178</v>
      </c>
      <c r="B179" s="2" t="str">
        <f>Messy_Data!D179</f>
        <v>Ravi</v>
      </c>
      <c r="C179" s="2" t="str">
        <f>Messy_Data!F179</f>
        <v>SALES</v>
      </c>
      <c r="D179" s="3">
        <f>Messy_Data!H179</f>
        <v>44268</v>
      </c>
      <c r="E179" s="3">
        <f ca="1">Messy_Data!J179</f>
        <v>44821</v>
      </c>
      <c r="F179" s="2">
        <f>Messy_Data!L179</f>
        <v>9615778785</v>
      </c>
      <c r="G179" s="2" t="str">
        <f>Messy_Data!N179</f>
        <v>sunita@company.com</v>
      </c>
      <c r="H179" s="12">
        <f>Messy_Data!O179</f>
        <v>51387</v>
      </c>
      <c r="I179" s="2" t="str">
        <f>Messy_Data!P179</f>
        <v>40K-60K</v>
      </c>
      <c r="J179" s="2"/>
      <c r="K179" s="2"/>
      <c r="L179" s="2"/>
      <c r="M179" s="2"/>
      <c r="N179" s="2"/>
      <c r="O179" s="2" t="str">
        <f>Messy_Data!S179</f>
        <v>M4</v>
      </c>
      <c r="P179" s="2" t="str">
        <f>Messy_Data!U179</f>
        <v>RESIGNED</v>
      </c>
      <c r="Q179" s="2">
        <f ca="1">Messy_Data!V179</f>
        <v>553</v>
      </c>
      <c r="R179" s="2">
        <f ca="1">Messy_Data!W179</f>
        <v>18</v>
      </c>
      <c r="S179" s="2">
        <f ca="1">Messy_Data!X179</f>
        <v>1</v>
      </c>
      <c r="T179" s="2"/>
      <c r="U179" s="2"/>
      <c r="V179" s="2"/>
      <c r="W179" s="9"/>
      <c r="X179" s="2"/>
      <c r="Y179" s="12"/>
      <c r="Z179" s="12"/>
      <c r="AA179" s="2" t="str">
        <f ca="1">Messy_Data!AA179</f>
        <v>OK</v>
      </c>
    </row>
    <row r="180" spans="1:27" x14ac:dyDescent="0.3">
      <c r="A180" s="2" t="str">
        <f>Messy_Data!B180</f>
        <v>EMP179</v>
      </c>
      <c r="B180" s="2" t="str">
        <f>Messy_Data!D180</f>
        <v>Suresh</v>
      </c>
      <c r="C180" s="2" t="str">
        <f>Messy_Data!F180</f>
        <v>HR</v>
      </c>
      <c r="D180" s="3">
        <f>Messy_Data!H180</f>
        <v>44750</v>
      </c>
      <c r="E180" s="3">
        <f ca="1">Messy_Data!J180</f>
        <v>45698</v>
      </c>
      <c r="F180" s="2">
        <f>Messy_Data!L180</f>
        <v>9292439596</v>
      </c>
      <c r="G180" s="2" t="str">
        <f>Messy_Data!N180</f>
        <v>sunita@company.com</v>
      </c>
      <c r="H180" s="12">
        <f>Messy_Data!O180</f>
        <v>80606</v>
      </c>
      <c r="I180" s="2" t="str">
        <f>Messy_Data!P180</f>
        <v>Above 80K</v>
      </c>
      <c r="J180" s="2"/>
      <c r="K180" s="2"/>
      <c r="L180" s="2"/>
      <c r="M180" s="2"/>
      <c r="N180" s="2"/>
      <c r="O180" s="2" t="str">
        <f>Messy_Data!S180</f>
        <v>M15</v>
      </c>
      <c r="P180" s="2" t="str">
        <f>Messy_Data!U180</f>
        <v>RESIGNED</v>
      </c>
      <c r="Q180" s="2">
        <f ca="1">Messy_Data!V180</f>
        <v>948</v>
      </c>
      <c r="R180" s="2">
        <f ca="1">Messy_Data!W180</f>
        <v>31</v>
      </c>
      <c r="S180" s="2">
        <f ca="1">Messy_Data!X180</f>
        <v>2</v>
      </c>
      <c r="T180" s="2"/>
      <c r="U180" s="2"/>
      <c r="V180" s="2"/>
      <c r="W180" s="9"/>
      <c r="X180" s="2"/>
      <c r="Y180" s="12"/>
      <c r="Z180" s="12"/>
      <c r="AA180" s="2" t="str">
        <f ca="1">Messy_Data!AA180</f>
        <v>OK</v>
      </c>
    </row>
    <row r="181" spans="1:27" x14ac:dyDescent="0.3">
      <c r="A181" s="2" t="str">
        <f>Messy_Data!B181</f>
        <v>EMP180</v>
      </c>
      <c r="B181" s="2" t="str">
        <f>Messy_Data!D181</f>
        <v>Pooja</v>
      </c>
      <c r="C181" s="2" t="str">
        <f>Messy_Data!F181</f>
        <v>HR</v>
      </c>
      <c r="D181" s="3">
        <f>Messy_Data!H181</f>
        <v>44483</v>
      </c>
      <c r="E181" s="3">
        <f ca="1">Messy_Data!J181</f>
        <v>44822</v>
      </c>
      <c r="F181" s="2">
        <f>Messy_Data!L181</f>
        <v>9736406232</v>
      </c>
      <c r="G181" s="2" t="str">
        <f>Messy_Data!N181</f>
        <v>rahul@company.com</v>
      </c>
      <c r="H181" s="12">
        <f>Messy_Data!O181</f>
        <v>57814</v>
      </c>
      <c r="I181" s="2" t="str">
        <f>Messy_Data!P181</f>
        <v>40K-60K</v>
      </c>
      <c r="J181" s="2"/>
      <c r="K181" s="2"/>
      <c r="L181" s="2"/>
      <c r="M181" s="2"/>
      <c r="N181" s="2"/>
      <c r="O181" s="2" t="str">
        <f>Messy_Data!S181</f>
        <v>M13</v>
      </c>
      <c r="P181" s="2" t="str">
        <f>Messy_Data!U181</f>
        <v>ON HOLD</v>
      </c>
      <c r="Q181" s="2">
        <f ca="1">Messy_Data!V181</f>
        <v>339</v>
      </c>
      <c r="R181" s="2">
        <f ca="1">Messy_Data!W181</f>
        <v>11</v>
      </c>
      <c r="S181" s="2">
        <f ca="1">Messy_Data!X181</f>
        <v>0</v>
      </c>
      <c r="T181" s="2"/>
      <c r="U181" s="2"/>
      <c r="V181" s="2"/>
      <c r="W181" s="9"/>
      <c r="X181" s="2"/>
      <c r="Y181" s="12"/>
      <c r="Z181" s="12"/>
      <c r="AA181" s="2" t="str">
        <f ca="1">Messy_Data!AA181</f>
        <v>OK</v>
      </c>
    </row>
    <row r="182" spans="1:27" x14ac:dyDescent="0.3">
      <c r="A182" s="2" t="str">
        <f>Messy_Data!B182</f>
        <v>EMP181</v>
      </c>
      <c r="B182" s="2" t="str">
        <f>Messy_Data!D182</f>
        <v>Pooja</v>
      </c>
      <c r="C182" s="2" t="str">
        <f>Messy_Data!F182</f>
        <v>HR</v>
      </c>
      <c r="D182" s="3">
        <f>Messy_Data!H182</f>
        <v>43971</v>
      </c>
      <c r="E182" s="3">
        <f ca="1">Messy_Data!J182</f>
        <v>44737</v>
      </c>
      <c r="F182" s="2">
        <f>Messy_Data!L182</f>
        <v>9102329174</v>
      </c>
      <c r="G182" s="2" t="str">
        <f>Messy_Data!N182</f>
        <v>neha@company.com</v>
      </c>
      <c r="H182" s="12">
        <f>Messy_Data!O182</f>
        <v>36818</v>
      </c>
      <c r="I182" s="2" t="str">
        <f>Messy_Data!P182</f>
        <v>20K-40K</v>
      </c>
      <c r="J182" s="2"/>
      <c r="K182" s="2"/>
      <c r="L182" s="2"/>
      <c r="M182" s="2"/>
      <c r="N182" s="2"/>
      <c r="O182" s="2" t="str">
        <f>Messy_Data!S182</f>
        <v>M10</v>
      </c>
      <c r="P182" s="2" t="str">
        <f>Messy_Data!U182</f>
        <v>ACTIVE</v>
      </c>
      <c r="Q182" s="2">
        <f ca="1">Messy_Data!V182</f>
        <v>766</v>
      </c>
      <c r="R182" s="2">
        <f ca="1">Messy_Data!W182</f>
        <v>25</v>
      </c>
      <c r="S182" s="2">
        <f ca="1">Messy_Data!X182</f>
        <v>2</v>
      </c>
      <c r="T182" s="2"/>
      <c r="U182" s="2"/>
      <c r="V182" s="2"/>
      <c r="W182" s="9"/>
      <c r="X182" s="2"/>
      <c r="Y182" s="12"/>
      <c r="Z182" s="12"/>
      <c r="AA182" s="2" t="str">
        <f ca="1">Messy_Data!AA182</f>
        <v>OK</v>
      </c>
    </row>
    <row r="183" spans="1:27" x14ac:dyDescent="0.3">
      <c r="A183" s="2" t="str">
        <f>Messy_Data!B183</f>
        <v>EMP182</v>
      </c>
      <c r="B183" s="2" t="str">
        <f>Messy_Data!D183</f>
        <v>Vikas</v>
      </c>
      <c r="C183" s="2" t="str">
        <f>Messy_Data!F183</f>
        <v>FINANCE</v>
      </c>
      <c r="D183" s="3">
        <f>Messy_Data!H183</f>
        <v>44947</v>
      </c>
      <c r="E183" s="3">
        <f ca="1">Messy_Data!J183</f>
        <v>46024</v>
      </c>
      <c r="F183" s="2">
        <f>Messy_Data!L183</f>
        <v>9592980904</v>
      </c>
      <c r="G183" s="2" t="str">
        <f>Messy_Data!N183</f>
        <v>amit@company.com</v>
      </c>
      <c r="H183" s="12">
        <f>Messy_Data!O183</f>
        <v>62179</v>
      </c>
      <c r="I183" s="2" t="str">
        <f>Messy_Data!P183</f>
        <v>60K-80K</v>
      </c>
      <c r="J183" s="2"/>
      <c r="K183" s="2"/>
      <c r="L183" s="2"/>
      <c r="M183" s="2"/>
      <c r="N183" s="2"/>
      <c r="O183" s="2" t="str">
        <f>Messy_Data!S183</f>
        <v>M12</v>
      </c>
      <c r="P183" s="2" t="str">
        <f>Messy_Data!U183</f>
        <v>RESIGNED</v>
      </c>
      <c r="Q183" s="2">
        <f ca="1">Messy_Data!V183</f>
        <v>1077</v>
      </c>
      <c r="R183" s="2">
        <f ca="1">Messy_Data!W183</f>
        <v>35</v>
      </c>
      <c r="S183" s="2">
        <f ca="1">Messy_Data!X183</f>
        <v>2</v>
      </c>
      <c r="T183" s="2"/>
      <c r="U183" s="2"/>
      <c r="V183" s="2"/>
      <c r="W183" s="9"/>
      <c r="X183" s="2"/>
      <c r="Y183" s="12"/>
      <c r="Z183" s="12"/>
      <c r="AA183" s="2" t="str">
        <f ca="1">Messy_Data!AA183</f>
        <v>OK</v>
      </c>
    </row>
    <row r="184" spans="1:27" x14ac:dyDescent="0.3">
      <c r="A184" s="2" t="str">
        <f>Messy_Data!B184</f>
        <v>EMP183</v>
      </c>
      <c r="B184" s="2" t="str">
        <f>Messy_Data!D184</f>
        <v>Suresh</v>
      </c>
      <c r="C184" s="2" t="str">
        <f>Messy_Data!F184</f>
        <v>FINANCE</v>
      </c>
      <c r="D184" s="3">
        <f>Messy_Data!H184</f>
        <v>45194</v>
      </c>
      <c r="E184" s="3">
        <f ca="1">Messy_Data!J184</f>
        <v>45848</v>
      </c>
      <c r="F184" s="2">
        <f>Messy_Data!L184</f>
        <v>9542862874</v>
      </c>
      <c r="G184" s="2" t="str">
        <f>Messy_Data!N184</f>
        <v>neha@company.com</v>
      </c>
      <c r="H184" s="12">
        <f>Messy_Data!O184</f>
        <v>12919</v>
      </c>
      <c r="I184" s="2" t="str">
        <f>Messy_Data!P184</f>
        <v>Below 20K</v>
      </c>
      <c r="J184" s="2"/>
      <c r="K184" s="2"/>
      <c r="L184" s="2"/>
      <c r="M184" s="2"/>
      <c r="N184" s="2"/>
      <c r="O184" s="2" t="str">
        <f>Messy_Data!S184</f>
        <v>M23</v>
      </c>
      <c r="P184" s="2" t="str">
        <f>Messy_Data!U184</f>
        <v>ACTIVE</v>
      </c>
      <c r="Q184" s="2">
        <f ca="1">Messy_Data!V184</f>
        <v>654</v>
      </c>
      <c r="R184" s="2">
        <f ca="1">Messy_Data!W184</f>
        <v>21</v>
      </c>
      <c r="S184" s="2">
        <f ca="1">Messy_Data!X184</f>
        <v>1</v>
      </c>
      <c r="T184" s="2"/>
      <c r="U184" s="2"/>
      <c r="V184" s="2"/>
      <c r="W184" s="9"/>
      <c r="X184" s="2"/>
      <c r="Y184" s="12"/>
      <c r="Z184" s="12"/>
      <c r="AA184" s="2" t="str">
        <f ca="1">Messy_Data!AA184</f>
        <v>OK</v>
      </c>
    </row>
    <row r="185" spans="1:27" x14ac:dyDescent="0.3">
      <c r="A185" s="2" t="str">
        <f>Messy_Data!B185</f>
        <v>EMP184</v>
      </c>
      <c r="B185" s="2" t="str">
        <f>Messy_Data!D185</f>
        <v>Kiran</v>
      </c>
      <c r="C185" s="2" t="str">
        <f>Messy_Data!F185</f>
        <v>SALES</v>
      </c>
      <c r="D185" s="3">
        <f>Messy_Data!H185</f>
        <v>43469</v>
      </c>
      <c r="E185" s="3">
        <f ca="1">Messy_Data!J185</f>
        <v>43661</v>
      </c>
      <c r="F185" s="2">
        <f>Messy_Data!L185</f>
        <v>9966692429</v>
      </c>
      <c r="G185" s="2" t="str">
        <f>Messy_Data!N185</f>
        <v>ravi@gmail.com</v>
      </c>
      <c r="H185" s="12">
        <f>Messy_Data!O185</f>
        <v>30827</v>
      </c>
      <c r="I185" s="2" t="str">
        <f>Messy_Data!P185</f>
        <v>20K-40K</v>
      </c>
      <c r="J185" s="2"/>
      <c r="K185" s="2"/>
      <c r="L185" s="2"/>
      <c r="M185" s="2"/>
      <c r="N185" s="2"/>
      <c r="O185" s="2" t="str">
        <f>Messy_Data!S185</f>
        <v>M24</v>
      </c>
      <c r="P185" s="2" t="str">
        <f>Messy_Data!U185</f>
        <v>RESIGNED</v>
      </c>
      <c r="Q185" s="2">
        <f ca="1">Messy_Data!V185</f>
        <v>192</v>
      </c>
      <c r="R185" s="2">
        <f ca="1">Messy_Data!W185</f>
        <v>6</v>
      </c>
      <c r="S185" s="2">
        <f ca="1">Messy_Data!X185</f>
        <v>0</v>
      </c>
      <c r="T185" s="2"/>
      <c r="U185" s="2"/>
      <c r="V185" s="2"/>
      <c r="W185" s="9"/>
      <c r="X185" s="2"/>
      <c r="Y185" s="12"/>
      <c r="Z185" s="12"/>
      <c r="AA185" s="2" t="str">
        <f ca="1">Messy_Data!AA185</f>
        <v>OK</v>
      </c>
    </row>
    <row r="186" spans="1:27" x14ac:dyDescent="0.3">
      <c r="A186" s="2" t="str">
        <f>Messy_Data!B186</f>
        <v>EMP185</v>
      </c>
      <c r="B186" s="2" t="str">
        <f>Messy_Data!D186</f>
        <v>Suresh</v>
      </c>
      <c r="C186" s="2" t="str">
        <f>Messy_Data!F186</f>
        <v>IT</v>
      </c>
      <c r="D186" s="3">
        <f>Messy_Data!H186</f>
        <v>43482</v>
      </c>
      <c r="E186" s="3">
        <f ca="1">Messy_Data!J186</f>
        <v>44039</v>
      </c>
      <c r="F186" s="2">
        <f>Messy_Data!L186</f>
        <v>9587657981</v>
      </c>
      <c r="G186" s="2" t="str">
        <f>Messy_Data!N186</f>
        <v>kiran@company.com</v>
      </c>
      <c r="H186" s="12">
        <f>Messy_Data!O186</f>
        <v>18080</v>
      </c>
      <c r="I186" s="2" t="str">
        <f>Messy_Data!P186</f>
        <v>Below 20K</v>
      </c>
      <c r="J186" s="2"/>
      <c r="K186" s="2"/>
      <c r="L186" s="2"/>
      <c r="M186" s="2"/>
      <c r="N186" s="2"/>
      <c r="O186" s="2" t="str">
        <f>Messy_Data!S186</f>
        <v>M12</v>
      </c>
      <c r="P186" s="2" t="str">
        <f>Messy_Data!U186</f>
        <v>RESIGNED</v>
      </c>
      <c r="Q186" s="2">
        <f ca="1">Messy_Data!V186</f>
        <v>557</v>
      </c>
      <c r="R186" s="2">
        <f ca="1">Messy_Data!W186</f>
        <v>18</v>
      </c>
      <c r="S186" s="2">
        <f ca="1">Messy_Data!X186</f>
        <v>1</v>
      </c>
      <c r="T186" s="2"/>
      <c r="U186" s="2"/>
      <c r="V186" s="2"/>
      <c r="W186" s="9"/>
      <c r="X186" s="2"/>
      <c r="Y186" s="12"/>
      <c r="Z186" s="12"/>
      <c r="AA186" s="2" t="str">
        <f ca="1">Messy_Data!AA186</f>
        <v>OK</v>
      </c>
    </row>
    <row r="187" spans="1:27" x14ac:dyDescent="0.3">
      <c r="A187" s="2" t="str">
        <f>Messy_Data!B187</f>
        <v>EMP186</v>
      </c>
      <c r="B187" s="2" t="str">
        <f>Messy_Data!D187</f>
        <v>Sunita</v>
      </c>
      <c r="C187" s="2" t="str">
        <f>Messy_Data!F187</f>
        <v>FINANCE</v>
      </c>
      <c r="D187" s="3">
        <f>Messy_Data!H187</f>
        <v>44911</v>
      </c>
      <c r="E187" s="3">
        <f ca="1">Messy_Data!J187</f>
        <v>45091</v>
      </c>
      <c r="F187" s="2">
        <f>Messy_Data!L187</f>
        <v>9857287905</v>
      </c>
      <c r="G187" s="2" t="str">
        <f>Messy_Data!N187</f>
        <v>vikas@company.com</v>
      </c>
      <c r="H187" s="12">
        <f>Messy_Data!O187</f>
        <v>31545</v>
      </c>
      <c r="I187" s="2" t="str">
        <f>Messy_Data!P187</f>
        <v>20K-40K</v>
      </c>
      <c r="J187" s="2"/>
      <c r="K187" s="2"/>
      <c r="L187" s="2"/>
      <c r="M187" s="2"/>
      <c r="N187" s="2"/>
      <c r="O187" s="2" t="str">
        <f>Messy_Data!S187</f>
        <v>M6</v>
      </c>
      <c r="P187" s="2" t="str">
        <f>Messy_Data!U187</f>
        <v>ON HOLD</v>
      </c>
      <c r="Q187" s="2">
        <f ca="1">Messy_Data!V187</f>
        <v>180</v>
      </c>
      <c r="R187" s="2">
        <f ca="1">Messy_Data!W187</f>
        <v>5</v>
      </c>
      <c r="S187" s="2">
        <f ca="1">Messy_Data!X187</f>
        <v>0</v>
      </c>
      <c r="T187" s="2"/>
      <c r="U187" s="2"/>
      <c r="V187" s="2"/>
      <c r="W187" s="9"/>
      <c r="X187" s="2"/>
      <c r="Y187" s="12"/>
      <c r="Z187" s="12"/>
      <c r="AA187" s="2" t="str">
        <f ca="1">Messy_Data!AA187</f>
        <v>OK</v>
      </c>
    </row>
    <row r="188" spans="1:27" x14ac:dyDescent="0.3">
      <c r="A188" s="2" t="str">
        <f>Messy_Data!B188</f>
        <v>EMP187</v>
      </c>
      <c r="B188" s="2" t="str">
        <f>Messy_Data!D188</f>
        <v>Ravi</v>
      </c>
      <c r="C188" s="2" t="str">
        <f>Messy_Data!F188</f>
        <v>SALES</v>
      </c>
      <c r="D188" s="3">
        <f>Messy_Data!H188</f>
        <v>44759</v>
      </c>
      <c r="E188" s="3">
        <f ca="1">Messy_Data!J188</f>
        <v>45070</v>
      </c>
      <c r="F188" s="2">
        <f>Messy_Data!L188</f>
        <v>9897739043</v>
      </c>
      <c r="G188" s="2" t="str">
        <f>Messy_Data!N188</f>
        <v>pooja@company.com</v>
      </c>
      <c r="H188" s="12">
        <f>Messy_Data!O188</f>
        <v>79311</v>
      </c>
      <c r="I188" s="2" t="str">
        <f>Messy_Data!P188</f>
        <v>60K-80K</v>
      </c>
      <c r="J188" s="2"/>
      <c r="K188" s="2"/>
      <c r="L188" s="2"/>
      <c r="M188" s="2"/>
      <c r="N188" s="2"/>
      <c r="O188" s="2" t="str">
        <f>Messy_Data!S188</f>
        <v>M14</v>
      </c>
      <c r="P188" s="2" t="str">
        <f>Messy_Data!U188</f>
        <v>RESIGNED</v>
      </c>
      <c r="Q188" s="2">
        <f ca="1">Messy_Data!V188</f>
        <v>311</v>
      </c>
      <c r="R188" s="2">
        <f ca="1">Messy_Data!W188</f>
        <v>10</v>
      </c>
      <c r="S188" s="2">
        <f ca="1">Messy_Data!X188</f>
        <v>0</v>
      </c>
      <c r="T188" s="2"/>
      <c r="U188" s="2"/>
      <c r="V188" s="2"/>
      <c r="W188" s="9"/>
      <c r="X188" s="2"/>
      <c r="Y188" s="12"/>
      <c r="Z188" s="12"/>
      <c r="AA188" s="2" t="str">
        <f ca="1">Messy_Data!AA188</f>
        <v>OK</v>
      </c>
    </row>
    <row r="189" spans="1:27" x14ac:dyDescent="0.3">
      <c r="A189" s="2" t="str">
        <f>Messy_Data!B189</f>
        <v>EMP188</v>
      </c>
      <c r="B189" s="2" t="str">
        <f>Messy_Data!D189</f>
        <v>Sunita</v>
      </c>
      <c r="C189" s="2" t="str">
        <f>Messy_Data!F189</f>
        <v>SALES</v>
      </c>
      <c r="D189" s="3">
        <f>Messy_Data!H189</f>
        <v>44710</v>
      </c>
      <c r="E189" s="3">
        <f ca="1">Messy_Data!J189</f>
        <v>46141</v>
      </c>
      <c r="F189" s="2">
        <f>Messy_Data!L189</f>
        <v>9715834204</v>
      </c>
      <c r="G189" s="2" t="str">
        <f>Messy_Data!N189</f>
        <v>suresh@company.com</v>
      </c>
      <c r="H189" s="12">
        <f>Messy_Data!O189</f>
        <v>27951</v>
      </c>
      <c r="I189" s="2" t="str">
        <f>Messy_Data!P189</f>
        <v>20K-40K</v>
      </c>
      <c r="J189" s="2"/>
      <c r="K189" s="2"/>
      <c r="L189" s="2"/>
      <c r="M189" s="2"/>
      <c r="N189" s="2"/>
      <c r="O189" s="2" t="str">
        <f>Messy_Data!S189</f>
        <v>M1</v>
      </c>
      <c r="P189" s="2" t="str">
        <f>Messy_Data!U189</f>
        <v>RESIGNED</v>
      </c>
      <c r="Q189" s="2">
        <f ca="1">Messy_Data!V189</f>
        <v>1431</v>
      </c>
      <c r="R189" s="2">
        <f ca="1">Messy_Data!W189</f>
        <v>47</v>
      </c>
      <c r="S189" s="2">
        <f ca="1">Messy_Data!X189</f>
        <v>3</v>
      </c>
      <c r="T189" s="2"/>
      <c r="U189" s="2"/>
      <c r="V189" s="2"/>
      <c r="W189" s="9"/>
      <c r="X189" s="2"/>
      <c r="Y189" s="12"/>
      <c r="Z189" s="12"/>
      <c r="AA189" s="2" t="str">
        <f ca="1">Messy_Data!AA189</f>
        <v>OK</v>
      </c>
    </row>
    <row r="190" spans="1:27" x14ac:dyDescent="0.3">
      <c r="A190" s="2" t="str">
        <f>Messy_Data!B190</f>
        <v>EMP189</v>
      </c>
      <c r="B190" s="2" t="str">
        <f>Messy_Data!D190</f>
        <v>Kiran</v>
      </c>
      <c r="C190" s="2" t="str">
        <f>Messy_Data!F190</f>
        <v>FINANCE</v>
      </c>
      <c r="D190" s="3">
        <f>Messy_Data!H190</f>
        <v>44719</v>
      </c>
      <c r="E190" s="3">
        <f ca="1">Messy_Data!J190</f>
        <v>46024</v>
      </c>
      <c r="F190" s="2">
        <f>Messy_Data!L190</f>
        <v>9774649033</v>
      </c>
      <c r="G190" s="2" t="str">
        <f>Messy_Data!N190</f>
        <v>suresh@company.com</v>
      </c>
      <c r="H190" s="12">
        <f>Messy_Data!O190</f>
        <v>61835</v>
      </c>
      <c r="I190" s="2" t="str">
        <f>Messy_Data!P190</f>
        <v>60K-80K</v>
      </c>
      <c r="J190" s="2"/>
      <c r="K190" s="2"/>
      <c r="L190" s="2"/>
      <c r="M190" s="2"/>
      <c r="N190" s="2"/>
      <c r="O190" s="2" t="str">
        <f>Messy_Data!S190</f>
        <v>M6</v>
      </c>
      <c r="P190" s="2" t="str">
        <f>Messy_Data!U190</f>
        <v>RESIGNED</v>
      </c>
      <c r="Q190" s="2">
        <f ca="1">Messy_Data!V190</f>
        <v>1305</v>
      </c>
      <c r="R190" s="2">
        <f ca="1">Messy_Data!W190</f>
        <v>42</v>
      </c>
      <c r="S190" s="2">
        <f ca="1">Messy_Data!X190</f>
        <v>3</v>
      </c>
      <c r="T190" s="2"/>
      <c r="U190" s="2"/>
      <c r="V190" s="2"/>
      <c r="W190" s="9"/>
      <c r="X190" s="2"/>
      <c r="Y190" s="12"/>
      <c r="Z190" s="12"/>
      <c r="AA190" s="2" t="str">
        <f ca="1">Messy_Data!AA190</f>
        <v>OK</v>
      </c>
    </row>
    <row r="191" spans="1:27" x14ac:dyDescent="0.3">
      <c r="A191" s="2" t="str">
        <f>Messy_Data!B191</f>
        <v>EMP190</v>
      </c>
      <c r="B191" s="2" t="str">
        <f>Messy_Data!D191</f>
        <v>Vikas</v>
      </c>
      <c r="C191" s="2" t="str">
        <f>Messy_Data!F191</f>
        <v>FINANCE</v>
      </c>
      <c r="D191" s="3">
        <f>Messy_Data!H191</f>
        <v>44273</v>
      </c>
      <c r="E191" s="3">
        <f ca="1">Messy_Data!J191</f>
        <v>44780</v>
      </c>
      <c r="F191" s="2">
        <f>Messy_Data!L191</f>
        <v>9263087696</v>
      </c>
      <c r="G191" s="2" t="str">
        <f>Messy_Data!N191</f>
        <v>kiran@company.com</v>
      </c>
      <c r="H191" s="12">
        <f>Messy_Data!O191</f>
        <v>21671</v>
      </c>
      <c r="I191" s="2" t="str">
        <f>Messy_Data!P191</f>
        <v>20K-40K</v>
      </c>
      <c r="J191" s="2"/>
      <c r="K191" s="2"/>
      <c r="L191" s="2"/>
      <c r="M191" s="2"/>
      <c r="N191" s="2"/>
      <c r="O191" s="2" t="str">
        <f>Messy_Data!S191</f>
        <v>M12</v>
      </c>
      <c r="P191" s="2" t="str">
        <f>Messy_Data!U191</f>
        <v>ACTIVE</v>
      </c>
      <c r="Q191" s="2">
        <f ca="1">Messy_Data!V191</f>
        <v>507</v>
      </c>
      <c r="R191" s="2">
        <f ca="1">Messy_Data!W191</f>
        <v>16</v>
      </c>
      <c r="S191" s="2">
        <f ca="1">Messy_Data!X191</f>
        <v>1</v>
      </c>
      <c r="T191" s="2"/>
      <c r="U191" s="2"/>
      <c r="V191" s="2"/>
      <c r="W191" s="9"/>
      <c r="X191" s="2"/>
      <c r="Y191" s="12"/>
      <c r="Z191" s="12"/>
      <c r="AA191" s="2" t="str">
        <f ca="1">Messy_Data!AA191</f>
        <v>OK</v>
      </c>
    </row>
    <row r="192" spans="1:27" x14ac:dyDescent="0.3">
      <c r="A192" s="2" t="str">
        <f>Messy_Data!B192</f>
        <v>EMP191</v>
      </c>
      <c r="B192" s="2" t="str">
        <f>Messy_Data!D192</f>
        <v>Rahul</v>
      </c>
      <c r="C192" s="2" t="str">
        <f>Messy_Data!F192</f>
        <v>HR</v>
      </c>
      <c r="D192" s="3">
        <f>Messy_Data!H192</f>
        <v>44287</v>
      </c>
      <c r="E192" s="3">
        <f ca="1">Messy_Data!J192</f>
        <v>44744</v>
      </c>
      <c r="F192" s="2">
        <f>Messy_Data!L192</f>
        <v>9574537698</v>
      </c>
      <c r="G192" s="2" t="str">
        <f>Messy_Data!N192</f>
        <v>pooja@company.com</v>
      </c>
      <c r="H192" s="12">
        <f>Messy_Data!O192</f>
        <v>53207</v>
      </c>
      <c r="I192" s="2" t="str">
        <f>Messy_Data!P192</f>
        <v>40K-60K</v>
      </c>
      <c r="J192" s="2"/>
      <c r="K192" s="2"/>
      <c r="L192" s="2"/>
      <c r="M192" s="2"/>
      <c r="N192" s="2"/>
      <c r="O192" s="2" t="str">
        <f>Messy_Data!S192</f>
        <v>M17</v>
      </c>
      <c r="P192" s="2" t="str">
        <f>Messy_Data!U192</f>
        <v>RESIGNED</v>
      </c>
      <c r="Q192" s="2">
        <f ca="1">Messy_Data!V192</f>
        <v>457</v>
      </c>
      <c r="R192" s="2">
        <f ca="1">Messy_Data!W192</f>
        <v>15</v>
      </c>
      <c r="S192" s="2">
        <f ca="1">Messy_Data!X192</f>
        <v>1</v>
      </c>
      <c r="T192" s="2"/>
      <c r="U192" s="2"/>
      <c r="V192" s="2"/>
      <c r="W192" s="9"/>
      <c r="X192" s="2"/>
      <c r="Y192" s="12"/>
      <c r="Z192" s="12"/>
      <c r="AA192" s="2" t="str">
        <f ca="1">Messy_Data!AA192</f>
        <v>OK</v>
      </c>
    </row>
    <row r="193" spans="1:27" x14ac:dyDescent="0.3">
      <c r="A193" s="2" t="str">
        <f>Messy_Data!B193</f>
        <v>EMP192</v>
      </c>
      <c r="B193" s="2" t="str">
        <f>Messy_Data!D193</f>
        <v>Sunita</v>
      </c>
      <c r="C193" s="2" t="str">
        <f>Messy_Data!F193</f>
        <v>IT</v>
      </c>
      <c r="D193" s="3">
        <f>Messy_Data!H193</f>
        <v>44882</v>
      </c>
      <c r="E193" s="3">
        <f ca="1">Messy_Data!J193</f>
        <v>45060</v>
      </c>
      <c r="F193" s="2">
        <f>Messy_Data!L193</f>
        <v>9944268957</v>
      </c>
      <c r="G193" s="2" t="str">
        <f>Messy_Data!N193</f>
        <v>amit@gmail.com</v>
      </c>
      <c r="H193" s="12">
        <f>Messy_Data!O193</f>
        <v>28724</v>
      </c>
      <c r="I193" s="2" t="str">
        <f>Messy_Data!P193</f>
        <v>20K-40K</v>
      </c>
      <c r="J193" s="2"/>
      <c r="K193" s="2"/>
      <c r="L193" s="2"/>
      <c r="M193" s="2"/>
      <c r="N193" s="2"/>
      <c r="O193" s="2" t="str">
        <f>Messy_Data!S193</f>
        <v>M20</v>
      </c>
      <c r="P193" s="2" t="str">
        <f>Messy_Data!U193</f>
        <v>ACTIVE</v>
      </c>
      <c r="Q193" s="2">
        <f ca="1">Messy_Data!V193</f>
        <v>178</v>
      </c>
      <c r="R193" s="2">
        <f ca="1">Messy_Data!W193</f>
        <v>5</v>
      </c>
      <c r="S193" s="2">
        <f ca="1">Messy_Data!X193</f>
        <v>0</v>
      </c>
      <c r="T193" s="2"/>
      <c r="U193" s="2"/>
      <c r="V193" s="2"/>
      <c r="W193" s="9"/>
      <c r="X193" s="2"/>
      <c r="Y193" s="12"/>
      <c r="Z193" s="12"/>
      <c r="AA193" s="2" t="str">
        <f ca="1">Messy_Data!AA193</f>
        <v>OK</v>
      </c>
    </row>
    <row r="194" spans="1:27" x14ac:dyDescent="0.3">
      <c r="A194" s="2" t="str">
        <f>Messy_Data!B194</f>
        <v>EMP193</v>
      </c>
      <c r="B194" s="2" t="str">
        <f>Messy_Data!D194</f>
        <v>Pooja</v>
      </c>
      <c r="C194" s="2" t="str">
        <f>Messy_Data!F194</f>
        <v>FINANCE</v>
      </c>
      <c r="D194" s="3">
        <f>Messy_Data!H194</f>
        <v>45238</v>
      </c>
      <c r="E194" s="3">
        <f ca="1">Messy_Data!J194</f>
        <v>46222</v>
      </c>
      <c r="F194" s="2">
        <f>Messy_Data!L194</f>
        <v>9859883779</v>
      </c>
      <c r="G194" s="2" t="str">
        <f>Messy_Data!N194</f>
        <v>ankit@company.com</v>
      </c>
      <c r="H194" s="12">
        <f>Messy_Data!O194</f>
        <v>68866</v>
      </c>
      <c r="I194" s="2" t="str">
        <f>Messy_Data!P194</f>
        <v>60K-80K</v>
      </c>
      <c r="J194" s="2"/>
      <c r="K194" s="2"/>
      <c r="L194" s="2"/>
      <c r="M194" s="2"/>
      <c r="N194" s="2"/>
      <c r="O194" s="2" t="str">
        <f>Messy_Data!S194</f>
        <v>M12</v>
      </c>
      <c r="P194" s="2" t="str">
        <f>Messy_Data!U194</f>
        <v>RESIGNED</v>
      </c>
      <c r="Q194" s="2">
        <f ca="1">Messy_Data!V194</f>
        <v>984</v>
      </c>
      <c r="R194" s="2">
        <f ca="1">Messy_Data!W194</f>
        <v>32</v>
      </c>
      <c r="S194" s="2">
        <f ca="1">Messy_Data!X194</f>
        <v>2</v>
      </c>
      <c r="T194" s="2"/>
      <c r="U194" s="2"/>
      <c r="V194" s="2"/>
      <c r="W194" s="9"/>
      <c r="X194" s="2"/>
      <c r="Y194" s="12"/>
      <c r="Z194" s="12"/>
      <c r="AA194" s="2" t="str">
        <f ca="1">Messy_Data!AA194</f>
        <v>OK</v>
      </c>
    </row>
    <row r="195" spans="1:27" x14ac:dyDescent="0.3">
      <c r="A195" s="2" t="str">
        <f>Messy_Data!B195</f>
        <v>EMP194</v>
      </c>
      <c r="B195" s="2" t="str">
        <f>Messy_Data!D195</f>
        <v>Suresh</v>
      </c>
      <c r="C195" s="2" t="str">
        <f>Messy_Data!F195</f>
        <v>IT</v>
      </c>
      <c r="D195" s="3">
        <f>Messy_Data!H195</f>
        <v>43830</v>
      </c>
      <c r="E195" s="3">
        <f ca="1">Messy_Data!J195</f>
        <v>44953</v>
      </c>
      <c r="F195" s="2">
        <f>Messy_Data!L195</f>
        <v>9354615373</v>
      </c>
      <c r="G195" s="2" t="str">
        <f>Messy_Data!N195</f>
        <v>rahul@company.com</v>
      </c>
      <c r="H195" s="12">
        <f>Messy_Data!O195</f>
        <v>30226</v>
      </c>
      <c r="I195" s="2" t="str">
        <f>Messy_Data!P195</f>
        <v>20K-40K</v>
      </c>
      <c r="J195" s="2"/>
      <c r="K195" s="2"/>
      <c r="L195" s="2"/>
      <c r="M195" s="2"/>
      <c r="N195" s="2"/>
      <c r="O195" s="2" t="str">
        <f>Messy_Data!S195</f>
        <v>M7</v>
      </c>
      <c r="P195" s="2" t="str">
        <f>Messy_Data!U195</f>
        <v>RESIGNED</v>
      </c>
      <c r="Q195" s="2">
        <f ca="1">Messy_Data!V195</f>
        <v>1123</v>
      </c>
      <c r="R195" s="2">
        <f ca="1">Messy_Data!W195</f>
        <v>36</v>
      </c>
      <c r="S195" s="2">
        <f ca="1">Messy_Data!X195</f>
        <v>3</v>
      </c>
      <c r="T195" s="2"/>
      <c r="U195" s="2"/>
      <c r="V195" s="2"/>
      <c r="W195" s="9"/>
      <c r="X195" s="2"/>
      <c r="Y195" s="12"/>
      <c r="Z195" s="12"/>
      <c r="AA195" s="2" t="str">
        <f ca="1">Messy_Data!AA195</f>
        <v>OK</v>
      </c>
    </row>
    <row r="196" spans="1:27" x14ac:dyDescent="0.3">
      <c r="A196" s="2" t="str">
        <f>Messy_Data!B196</f>
        <v>EMP195</v>
      </c>
      <c r="B196" s="2" t="str">
        <f>Messy_Data!D196</f>
        <v>Pooja</v>
      </c>
      <c r="C196" s="2" t="str">
        <f>Messy_Data!F196</f>
        <v>IT</v>
      </c>
      <c r="D196" s="3">
        <f>Messy_Data!H196</f>
        <v>45180</v>
      </c>
      <c r="E196" s="3">
        <f ca="1">Messy_Data!J196</f>
        <v>45859</v>
      </c>
      <c r="F196" s="2">
        <f>Messy_Data!L196</f>
        <v>9746308252</v>
      </c>
      <c r="G196" s="2" t="str">
        <f>Messy_Data!N196</f>
        <v>kiran@company.com</v>
      </c>
      <c r="H196" s="12">
        <f>Messy_Data!O196</f>
        <v>76165</v>
      </c>
      <c r="I196" s="2" t="str">
        <f>Messy_Data!P196</f>
        <v>60K-80K</v>
      </c>
      <c r="J196" s="2"/>
      <c r="K196" s="2"/>
      <c r="L196" s="2"/>
      <c r="M196" s="2"/>
      <c r="N196" s="2"/>
      <c r="O196" s="2" t="str">
        <f>Messy_Data!S196</f>
        <v>M10</v>
      </c>
      <c r="P196" s="2" t="str">
        <f>Messy_Data!U196</f>
        <v>ACTIVE</v>
      </c>
      <c r="Q196" s="2">
        <f ca="1">Messy_Data!V196</f>
        <v>679</v>
      </c>
      <c r="R196" s="2">
        <f ca="1">Messy_Data!W196</f>
        <v>22</v>
      </c>
      <c r="S196" s="2">
        <f ca="1">Messy_Data!X196</f>
        <v>1</v>
      </c>
      <c r="T196" s="2"/>
      <c r="U196" s="2"/>
      <c r="V196" s="2"/>
      <c r="W196" s="9"/>
      <c r="X196" s="2"/>
      <c r="Y196" s="12"/>
      <c r="Z196" s="12"/>
      <c r="AA196" s="2" t="str">
        <f ca="1">Messy_Data!AA196</f>
        <v>OK</v>
      </c>
    </row>
    <row r="197" spans="1:27" x14ac:dyDescent="0.3">
      <c r="A197" s="2" t="str">
        <f>Messy_Data!B197</f>
        <v>EMP196</v>
      </c>
      <c r="B197" s="2" t="str">
        <f>Messy_Data!D197</f>
        <v>Kiran</v>
      </c>
      <c r="C197" s="2" t="str">
        <f>Messy_Data!F197</f>
        <v>SALES</v>
      </c>
      <c r="D197" s="3">
        <f>Messy_Data!H197</f>
        <v>45164</v>
      </c>
      <c r="E197" s="3">
        <f ca="1">Messy_Data!J197</f>
        <v>46024</v>
      </c>
      <c r="F197" s="2">
        <f>Messy_Data!L197</f>
        <v>9463899766</v>
      </c>
      <c r="G197" s="2" t="str">
        <f>Messy_Data!N197</f>
        <v>sunita@company.com</v>
      </c>
      <c r="H197" s="12">
        <f>Messy_Data!O197</f>
        <v>40570</v>
      </c>
      <c r="I197" s="2" t="str">
        <f>Messy_Data!P197</f>
        <v>40K-60K</v>
      </c>
      <c r="J197" s="2"/>
      <c r="K197" s="2"/>
      <c r="L197" s="2"/>
      <c r="M197" s="2"/>
      <c r="N197" s="2"/>
      <c r="O197" s="2" t="str">
        <f>Messy_Data!S197</f>
        <v>M4</v>
      </c>
      <c r="P197" s="2" t="str">
        <f>Messy_Data!U197</f>
        <v>ACTIVE</v>
      </c>
      <c r="Q197" s="2">
        <f ca="1">Messy_Data!V197</f>
        <v>860</v>
      </c>
      <c r="R197" s="2">
        <f ca="1">Messy_Data!W197</f>
        <v>28</v>
      </c>
      <c r="S197" s="2">
        <f ca="1">Messy_Data!X197</f>
        <v>2</v>
      </c>
      <c r="T197" s="2"/>
      <c r="U197" s="2"/>
      <c r="V197" s="2"/>
      <c r="W197" s="9"/>
      <c r="X197" s="2"/>
      <c r="Y197" s="12"/>
      <c r="Z197" s="12"/>
      <c r="AA197" s="2" t="str">
        <f ca="1">Messy_Data!AA197</f>
        <v>OK</v>
      </c>
    </row>
    <row r="198" spans="1:27" x14ac:dyDescent="0.3">
      <c r="A198" s="2" t="str">
        <f>Messy_Data!B198</f>
        <v>EMP197</v>
      </c>
      <c r="B198" s="2" t="str">
        <f>Messy_Data!D198</f>
        <v>Sunita</v>
      </c>
      <c r="C198" s="2" t="str">
        <f>Messy_Data!F198</f>
        <v>IT</v>
      </c>
      <c r="D198" s="3">
        <f>Messy_Data!H198</f>
        <v>45129</v>
      </c>
      <c r="E198" s="3">
        <f ca="1">Messy_Data!J198</f>
        <v>46518</v>
      </c>
      <c r="F198" s="2">
        <f>Messy_Data!L198</f>
        <v>9519758109</v>
      </c>
      <c r="G198" s="2" t="str">
        <f>Messy_Data!N198</f>
        <v>ravi@company.com</v>
      </c>
      <c r="H198" s="12">
        <f>Messy_Data!O198</f>
        <v>17382</v>
      </c>
      <c r="I198" s="2" t="str">
        <f>Messy_Data!P198</f>
        <v>Below 20K</v>
      </c>
      <c r="J198" s="2"/>
      <c r="K198" s="2"/>
      <c r="L198" s="2"/>
      <c r="M198" s="2"/>
      <c r="N198" s="2"/>
      <c r="O198" s="2" t="str">
        <f>Messy_Data!S198</f>
        <v>M14</v>
      </c>
      <c r="P198" s="2" t="str">
        <f>Messy_Data!U198</f>
        <v>ACTIVE</v>
      </c>
      <c r="Q198" s="2">
        <f ca="1">Messy_Data!V198</f>
        <v>1389</v>
      </c>
      <c r="R198" s="2">
        <f ca="1">Messy_Data!W198</f>
        <v>45</v>
      </c>
      <c r="S198" s="2">
        <f ca="1">Messy_Data!X198</f>
        <v>3</v>
      </c>
      <c r="T198" s="2"/>
      <c r="U198" s="2"/>
      <c r="V198" s="2"/>
      <c r="W198" s="9"/>
      <c r="X198" s="2"/>
      <c r="Y198" s="12"/>
      <c r="Z198" s="12"/>
      <c r="AA198" s="2" t="str">
        <f ca="1">Messy_Data!AA198</f>
        <v>OK</v>
      </c>
    </row>
    <row r="199" spans="1:27" x14ac:dyDescent="0.3">
      <c r="A199" s="2" t="str">
        <f>Messy_Data!B199</f>
        <v>EMP198</v>
      </c>
      <c r="B199" s="2" t="str">
        <f>Messy_Data!D199</f>
        <v>Neha</v>
      </c>
      <c r="C199" s="2" t="str">
        <f>Messy_Data!F199</f>
        <v>HR</v>
      </c>
      <c r="D199" s="3">
        <f>Messy_Data!H199</f>
        <v>45109</v>
      </c>
      <c r="E199" s="3">
        <f ca="1">Messy_Data!J199</f>
        <v>45987</v>
      </c>
      <c r="F199" s="2">
        <f>Messy_Data!L199</f>
        <v>9880329186</v>
      </c>
      <c r="G199" s="2" t="str">
        <f>Messy_Data!N199</f>
        <v>pooja@company.com</v>
      </c>
      <c r="H199" s="12">
        <f>Messy_Data!O199</f>
        <v>19485</v>
      </c>
      <c r="I199" s="2" t="str">
        <f>Messy_Data!P199</f>
        <v>Below 20K</v>
      </c>
      <c r="J199" s="2"/>
      <c r="K199" s="2"/>
      <c r="L199" s="2"/>
      <c r="M199" s="2"/>
      <c r="N199" s="2"/>
      <c r="O199" s="2" t="str">
        <f>Messy_Data!S199</f>
        <v>M11</v>
      </c>
      <c r="P199" s="2" t="str">
        <f>Messy_Data!U199</f>
        <v>ON HOLD</v>
      </c>
      <c r="Q199" s="2">
        <f ca="1">Messy_Data!V199</f>
        <v>878</v>
      </c>
      <c r="R199" s="2">
        <f ca="1">Messy_Data!W199</f>
        <v>28</v>
      </c>
      <c r="S199" s="2">
        <f ca="1">Messy_Data!X199</f>
        <v>2</v>
      </c>
      <c r="T199" s="2"/>
      <c r="U199" s="2"/>
      <c r="V199" s="2"/>
      <c r="W199" s="9"/>
      <c r="X199" s="2"/>
      <c r="Y199" s="12"/>
      <c r="Z199" s="12"/>
      <c r="AA199" s="2" t="str">
        <f ca="1">Messy_Data!AA199</f>
        <v>OK</v>
      </c>
    </row>
    <row r="200" spans="1:27" x14ac:dyDescent="0.3">
      <c r="A200" s="2" t="str">
        <f>Messy_Data!B200</f>
        <v>EMP199</v>
      </c>
      <c r="B200" s="2" t="str">
        <f>Messy_Data!D200</f>
        <v>Rahul</v>
      </c>
      <c r="C200" s="2" t="str">
        <f>Messy_Data!F200</f>
        <v>IT</v>
      </c>
      <c r="D200" s="3">
        <f>Messy_Data!H200</f>
        <v>45117</v>
      </c>
      <c r="E200" s="3">
        <f ca="1">Messy_Data!J200</f>
        <v>46548</v>
      </c>
      <c r="F200" s="2">
        <f>Messy_Data!L200</f>
        <v>9404972753</v>
      </c>
      <c r="G200" s="2" t="str">
        <f>Messy_Data!N200</f>
        <v>ankit@company.com</v>
      </c>
      <c r="H200" s="12">
        <f>Messy_Data!O200</f>
        <v>76640</v>
      </c>
      <c r="I200" s="2" t="str">
        <f>Messy_Data!P200</f>
        <v>60K-80K</v>
      </c>
      <c r="J200" s="2"/>
      <c r="K200" s="2"/>
      <c r="L200" s="2"/>
      <c r="M200" s="2"/>
      <c r="N200" s="2"/>
      <c r="O200" s="2" t="str">
        <f>Messy_Data!S200</f>
        <v>M2</v>
      </c>
      <c r="P200" s="2" t="str">
        <f>Messy_Data!U200</f>
        <v>RESIGNED</v>
      </c>
      <c r="Q200" s="2">
        <f ca="1">Messy_Data!V200</f>
        <v>1431</v>
      </c>
      <c r="R200" s="2">
        <f ca="1">Messy_Data!W200</f>
        <v>47</v>
      </c>
      <c r="S200" s="2">
        <f ca="1">Messy_Data!X200</f>
        <v>3</v>
      </c>
      <c r="T200" s="2"/>
      <c r="U200" s="2"/>
      <c r="V200" s="2"/>
      <c r="W200" s="9"/>
      <c r="X200" s="2"/>
      <c r="Y200" s="12"/>
      <c r="Z200" s="12"/>
      <c r="AA200" s="2" t="str">
        <f ca="1">Messy_Data!AA200</f>
        <v>OK</v>
      </c>
    </row>
    <row r="201" spans="1:27" x14ac:dyDescent="0.3">
      <c r="A201" s="2" t="str">
        <f>Messy_Data!B201</f>
        <v>EMP200</v>
      </c>
      <c r="B201" s="2" t="str">
        <f>Messy_Data!D201</f>
        <v>Sunita</v>
      </c>
      <c r="C201" s="2" t="str">
        <f>Messy_Data!F201</f>
        <v>SALES</v>
      </c>
      <c r="D201" s="3">
        <f>Messy_Data!H201</f>
        <v>44515</v>
      </c>
      <c r="E201" s="3">
        <f ca="1">Messy_Data!J201</f>
        <v>44596</v>
      </c>
      <c r="F201" s="2">
        <f>Messy_Data!L201</f>
        <v>9684580891</v>
      </c>
      <c r="G201" s="2" t="str">
        <f>Messy_Data!N201</f>
        <v>rahul@gmail.com</v>
      </c>
      <c r="H201" s="12">
        <f>Messy_Data!O201</f>
        <v>80560</v>
      </c>
      <c r="I201" s="2" t="str">
        <f>Messy_Data!P201</f>
        <v>Above 80K</v>
      </c>
      <c r="J201" s="2"/>
      <c r="K201" s="2"/>
      <c r="L201" s="2"/>
      <c r="M201" s="2"/>
      <c r="N201" s="2"/>
      <c r="O201" s="2" t="str">
        <f>Messy_Data!S201</f>
        <v>M5</v>
      </c>
      <c r="P201" s="2" t="str">
        <f>Messy_Data!U201</f>
        <v>ON HOLD</v>
      </c>
      <c r="Q201" s="2">
        <f ca="1">Messy_Data!V201</f>
        <v>81</v>
      </c>
      <c r="R201" s="2">
        <f ca="1">Messy_Data!W201</f>
        <v>2</v>
      </c>
      <c r="S201" s="2">
        <f ca="1">Messy_Data!X201</f>
        <v>0</v>
      </c>
      <c r="T201" s="2"/>
      <c r="U201" s="2"/>
      <c r="V201" s="2"/>
      <c r="W201" s="9"/>
      <c r="X201" s="2"/>
      <c r="Y201" s="12"/>
      <c r="Z201" s="12"/>
      <c r="AA201" s="2" t="str">
        <f ca="1">Messy_Data!AA201</f>
        <v>CHECK</v>
      </c>
    </row>
    <row r="202" spans="1:27" x14ac:dyDescent="0.3">
      <c r="A202" s="2" t="str">
        <f>Messy_Data!B202</f>
        <v>EMP201</v>
      </c>
      <c r="B202" s="2" t="str">
        <f>Messy_Data!D202</f>
        <v>Kiran</v>
      </c>
      <c r="C202" s="2" t="str">
        <f>Messy_Data!F202</f>
        <v>IT</v>
      </c>
      <c r="D202" s="3">
        <f>Messy_Data!H202</f>
        <v>43780</v>
      </c>
      <c r="E202" s="3">
        <f ca="1">Messy_Data!J202</f>
        <v>45236</v>
      </c>
      <c r="F202" s="2">
        <f>Messy_Data!L202</f>
        <v>9289362180</v>
      </c>
      <c r="G202" s="2" t="str">
        <f>Messy_Data!N202</f>
        <v>rahul@company.com</v>
      </c>
      <c r="H202" s="12">
        <f>Messy_Data!O202</f>
        <v>20786</v>
      </c>
      <c r="I202" s="2" t="str">
        <f>Messy_Data!P202</f>
        <v>20K-40K</v>
      </c>
      <c r="J202" s="2"/>
      <c r="K202" s="2"/>
      <c r="L202" s="2"/>
      <c r="M202" s="2"/>
      <c r="N202" s="2"/>
      <c r="O202" s="2" t="str">
        <f>Messy_Data!S202</f>
        <v>M10</v>
      </c>
      <c r="P202" s="2" t="str">
        <f>Messy_Data!U202</f>
        <v>ACTIVE</v>
      </c>
      <c r="Q202" s="2">
        <f ca="1">Messy_Data!V202</f>
        <v>1456</v>
      </c>
      <c r="R202" s="2">
        <f ca="1">Messy_Data!W202</f>
        <v>47</v>
      </c>
      <c r="S202" s="2">
        <f ca="1">Messy_Data!X202</f>
        <v>3</v>
      </c>
      <c r="T202" s="2"/>
      <c r="U202" s="2"/>
      <c r="V202" s="2"/>
      <c r="W202" s="9"/>
      <c r="X202" s="2"/>
      <c r="Y202" s="12"/>
      <c r="Z202" s="12"/>
      <c r="AA202" s="2" t="str">
        <f ca="1">Messy_Data!AA202</f>
        <v>OK</v>
      </c>
    </row>
    <row r="203" spans="1:27" x14ac:dyDescent="0.3">
      <c r="A203" s="2" t="str">
        <f>Messy_Data!B203</f>
        <v>EMP202</v>
      </c>
      <c r="B203" s="2" t="str">
        <f>Messy_Data!D203</f>
        <v>Kiran</v>
      </c>
      <c r="C203" s="2" t="str">
        <f>Messy_Data!F203</f>
        <v>FINANCE</v>
      </c>
      <c r="D203" s="3">
        <f>Messy_Data!H203</f>
        <v>44565</v>
      </c>
      <c r="E203" s="3">
        <f ca="1">Messy_Data!J203</f>
        <v>45555</v>
      </c>
      <c r="F203" s="2">
        <f>Messy_Data!L203</f>
        <v>9668303688</v>
      </c>
      <c r="G203" s="2" t="str">
        <f>Messy_Data!N203</f>
        <v>pooja@company.com</v>
      </c>
      <c r="H203" s="12">
        <f>Messy_Data!O203</f>
        <v>82599</v>
      </c>
      <c r="I203" s="2" t="str">
        <f>Messy_Data!P203</f>
        <v>Above 80K</v>
      </c>
      <c r="J203" s="2"/>
      <c r="K203" s="2"/>
      <c r="L203" s="2"/>
      <c r="M203" s="2"/>
      <c r="N203" s="2"/>
      <c r="O203" s="2" t="str">
        <f>Messy_Data!S203</f>
        <v>M10</v>
      </c>
      <c r="P203" s="2" t="str">
        <f>Messy_Data!U203</f>
        <v>ON HOLD</v>
      </c>
      <c r="Q203" s="2">
        <f ca="1">Messy_Data!V203</f>
        <v>990</v>
      </c>
      <c r="R203" s="2">
        <f ca="1">Messy_Data!W203</f>
        <v>32</v>
      </c>
      <c r="S203" s="2">
        <f ca="1">Messy_Data!X203</f>
        <v>2</v>
      </c>
      <c r="T203" s="2"/>
      <c r="U203" s="2"/>
      <c r="V203" s="2"/>
      <c r="W203" s="9"/>
      <c r="X203" s="2"/>
      <c r="Y203" s="12"/>
      <c r="Z203" s="12"/>
      <c r="AA203" s="2" t="str">
        <f ca="1">Messy_Data!AA203</f>
        <v>OK</v>
      </c>
    </row>
    <row r="204" spans="1:27" x14ac:dyDescent="0.3">
      <c r="A204" s="2" t="str">
        <f>Messy_Data!B204</f>
        <v>EMP203</v>
      </c>
      <c r="B204" s="2" t="str">
        <f>Messy_Data!D204</f>
        <v>Pooja</v>
      </c>
      <c r="C204" s="2" t="str">
        <f>Messy_Data!F204</f>
        <v>SALES</v>
      </c>
      <c r="D204" s="3">
        <f>Messy_Data!H204</f>
        <v>43489</v>
      </c>
      <c r="E204" s="3">
        <f ca="1">Messy_Data!J204</f>
        <v>46024</v>
      </c>
      <c r="F204" s="2">
        <f>Messy_Data!L204</f>
        <v>9271542988</v>
      </c>
      <c r="G204" s="2" t="str">
        <f>Messy_Data!N204</f>
        <v>pooja@company.com</v>
      </c>
      <c r="H204" s="12">
        <f>Messy_Data!O204</f>
        <v>45085</v>
      </c>
      <c r="I204" s="2" t="str">
        <f>Messy_Data!P204</f>
        <v>40K-60K</v>
      </c>
      <c r="J204" s="2"/>
      <c r="K204" s="2"/>
      <c r="L204" s="2"/>
      <c r="M204" s="2"/>
      <c r="N204" s="2"/>
      <c r="O204" s="2" t="str">
        <f>Messy_Data!S204</f>
        <v>M20</v>
      </c>
      <c r="P204" s="2" t="str">
        <f>Messy_Data!U204</f>
        <v>ACTIVE</v>
      </c>
      <c r="Q204" s="2">
        <f ca="1">Messy_Data!V204</f>
        <v>2535</v>
      </c>
      <c r="R204" s="2">
        <f ca="1">Messy_Data!W204</f>
        <v>83</v>
      </c>
      <c r="S204" s="2">
        <f ca="1">Messy_Data!X204</f>
        <v>6</v>
      </c>
      <c r="T204" s="2"/>
      <c r="U204" s="2"/>
      <c r="V204" s="2"/>
      <c r="W204" s="9"/>
      <c r="X204" s="2"/>
      <c r="Y204" s="12"/>
      <c r="Z204" s="12"/>
      <c r="AA204" s="2" t="str">
        <f ca="1">Messy_Data!AA204</f>
        <v>OK</v>
      </c>
    </row>
    <row r="205" spans="1:27" x14ac:dyDescent="0.3">
      <c r="A205" s="2" t="str">
        <f>Messy_Data!B205</f>
        <v>EMP204</v>
      </c>
      <c r="B205" s="2" t="str">
        <f>Messy_Data!D205</f>
        <v>Rahul</v>
      </c>
      <c r="C205" s="2" t="str">
        <f>Messy_Data!F205</f>
        <v>HR</v>
      </c>
      <c r="D205" s="3">
        <f>Messy_Data!H205</f>
        <v>44497</v>
      </c>
      <c r="E205" s="3">
        <f ca="1">Messy_Data!J205</f>
        <v>45058</v>
      </c>
      <c r="F205" s="2">
        <f>Messy_Data!L205</f>
        <v>9157462398</v>
      </c>
      <c r="G205" s="2" t="str">
        <f>Messy_Data!N205</f>
        <v>vikas@company.com</v>
      </c>
      <c r="H205" s="12">
        <f>Messy_Data!O205</f>
        <v>84409</v>
      </c>
      <c r="I205" s="2" t="str">
        <f>Messy_Data!P205</f>
        <v>Above 80K</v>
      </c>
      <c r="J205" s="2"/>
      <c r="K205" s="2"/>
      <c r="L205" s="2"/>
      <c r="M205" s="2"/>
      <c r="N205" s="2"/>
      <c r="O205" s="2" t="str">
        <f>Messy_Data!S205</f>
        <v>M17</v>
      </c>
      <c r="P205" s="2" t="str">
        <f>Messy_Data!U205</f>
        <v>RESIGNED</v>
      </c>
      <c r="Q205" s="2">
        <f ca="1">Messy_Data!V205</f>
        <v>561</v>
      </c>
      <c r="R205" s="2">
        <f ca="1">Messy_Data!W205</f>
        <v>18</v>
      </c>
      <c r="S205" s="2">
        <f ca="1">Messy_Data!X205</f>
        <v>1</v>
      </c>
      <c r="T205" s="2"/>
      <c r="U205" s="2"/>
      <c r="V205" s="2"/>
      <c r="W205" s="9"/>
      <c r="X205" s="2"/>
      <c r="Y205" s="12"/>
      <c r="Z205" s="12"/>
      <c r="AA205" s="2" t="str">
        <f ca="1">Messy_Data!AA205</f>
        <v>CHECK</v>
      </c>
    </row>
    <row r="206" spans="1:27" x14ac:dyDescent="0.3">
      <c r="A206" s="2" t="str">
        <f>Messy_Data!B206</f>
        <v>EMP205</v>
      </c>
      <c r="B206" s="2" t="str">
        <f>Messy_Data!D206</f>
        <v>Vikas</v>
      </c>
      <c r="C206" s="2" t="str">
        <f>Messy_Data!F206</f>
        <v>IT</v>
      </c>
      <c r="D206" s="3">
        <f>Messy_Data!H206</f>
        <v>44296</v>
      </c>
      <c r="E206" s="3">
        <f ca="1">Messy_Data!J206</f>
        <v>45065</v>
      </c>
      <c r="F206" s="2">
        <f>Messy_Data!L206</f>
        <v>9898723546</v>
      </c>
      <c r="G206" s="2" t="str">
        <f>Messy_Data!N206</f>
        <v>sunita@company.com</v>
      </c>
      <c r="H206" s="12">
        <f>Messy_Data!O206</f>
        <v>70855</v>
      </c>
      <c r="I206" s="2" t="str">
        <f>Messy_Data!P206</f>
        <v>60K-80K</v>
      </c>
      <c r="J206" s="2"/>
      <c r="K206" s="2"/>
      <c r="L206" s="2"/>
      <c r="M206" s="2"/>
      <c r="N206" s="2"/>
      <c r="O206" s="2" t="str">
        <f>Messy_Data!S206</f>
        <v>M11</v>
      </c>
      <c r="P206" s="2" t="str">
        <f>Messy_Data!U206</f>
        <v>ACTIVE</v>
      </c>
      <c r="Q206" s="2">
        <f ca="1">Messy_Data!V206</f>
        <v>769</v>
      </c>
      <c r="R206" s="2">
        <f ca="1">Messy_Data!W206</f>
        <v>25</v>
      </c>
      <c r="S206" s="2">
        <f ca="1">Messy_Data!X206</f>
        <v>2</v>
      </c>
      <c r="T206" s="2"/>
      <c r="U206" s="2"/>
      <c r="V206" s="2"/>
      <c r="W206" s="9"/>
      <c r="X206" s="2"/>
      <c r="Y206" s="12"/>
      <c r="Z206" s="12"/>
      <c r="AA206" s="2" t="str">
        <f ca="1">Messy_Data!AA206</f>
        <v>OK</v>
      </c>
    </row>
    <row r="207" spans="1:27" x14ac:dyDescent="0.3">
      <c r="A207" s="2" t="str">
        <f>Messy_Data!B207</f>
        <v>EMP206</v>
      </c>
      <c r="B207" s="2" t="str">
        <f>Messy_Data!D207</f>
        <v>Amit</v>
      </c>
      <c r="C207" s="2" t="str">
        <f>Messy_Data!F207</f>
        <v>IT</v>
      </c>
      <c r="D207" s="3">
        <f>Messy_Data!H207</f>
        <v>43772</v>
      </c>
      <c r="E207" s="3">
        <f ca="1">Messy_Data!J207</f>
        <v>44114</v>
      </c>
      <c r="F207" s="2">
        <f>Messy_Data!L207</f>
        <v>9934554759</v>
      </c>
      <c r="G207" s="2" t="str">
        <f>Messy_Data!N207</f>
        <v>vikas@company.com</v>
      </c>
      <c r="H207" s="12">
        <f>Messy_Data!O207</f>
        <v>86132</v>
      </c>
      <c r="I207" s="2" t="str">
        <f>Messy_Data!P207</f>
        <v>Above 80K</v>
      </c>
      <c r="J207" s="2"/>
      <c r="K207" s="2"/>
      <c r="L207" s="2"/>
      <c r="M207" s="2"/>
      <c r="N207" s="2"/>
      <c r="O207" s="2" t="str">
        <f>Messy_Data!S207</f>
        <v>M14</v>
      </c>
      <c r="P207" s="2" t="str">
        <f>Messy_Data!U207</f>
        <v>RESIGNED</v>
      </c>
      <c r="Q207" s="2">
        <f ca="1">Messy_Data!V207</f>
        <v>342</v>
      </c>
      <c r="R207" s="2">
        <f ca="1">Messy_Data!W207</f>
        <v>11</v>
      </c>
      <c r="S207" s="2">
        <f ca="1">Messy_Data!X207</f>
        <v>0</v>
      </c>
      <c r="T207" s="2"/>
      <c r="U207" s="2"/>
      <c r="V207" s="2"/>
      <c r="W207" s="9"/>
      <c r="X207" s="2"/>
      <c r="Y207" s="12"/>
      <c r="Z207" s="12"/>
      <c r="AA207" s="2" t="str">
        <f ca="1">Messy_Data!AA207</f>
        <v>CHECK</v>
      </c>
    </row>
    <row r="208" spans="1:27" x14ac:dyDescent="0.3">
      <c r="A208" s="2" t="str">
        <f>Messy_Data!B208</f>
        <v>EMP207</v>
      </c>
      <c r="B208" s="2" t="str">
        <f>Messy_Data!D208</f>
        <v>Ankit</v>
      </c>
      <c r="C208" s="2" t="str">
        <f>Messy_Data!F208</f>
        <v>HR</v>
      </c>
      <c r="D208" s="3">
        <f>Messy_Data!H208</f>
        <v>44839</v>
      </c>
      <c r="E208" s="3">
        <f ca="1">Messy_Data!J208</f>
        <v>44982</v>
      </c>
      <c r="F208" s="2">
        <f>Messy_Data!L208</f>
        <v>9375991392</v>
      </c>
      <c r="G208" s="2" t="str">
        <f>Messy_Data!N208</f>
        <v>suresh@company.com</v>
      </c>
      <c r="H208" s="12">
        <f>Messy_Data!O208</f>
        <v>64514</v>
      </c>
      <c r="I208" s="2" t="str">
        <f>Messy_Data!P208</f>
        <v>60K-80K</v>
      </c>
      <c r="J208" s="2"/>
      <c r="K208" s="2"/>
      <c r="L208" s="2"/>
      <c r="M208" s="2"/>
      <c r="N208" s="2"/>
      <c r="O208" s="2" t="str">
        <f>Messy_Data!S208</f>
        <v>M14</v>
      </c>
      <c r="P208" s="2" t="str">
        <f>Messy_Data!U208</f>
        <v>ACTIVE</v>
      </c>
      <c r="Q208" s="2">
        <f ca="1">Messy_Data!V208</f>
        <v>143</v>
      </c>
      <c r="R208" s="2">
        <f ca="1">Messy_Data!W208</f>
        <v>4</v>
      </c>
      <c r="S208" s="2">
        <f ca="1">Messy_Data!X208</f>
        <v>0</v>
      </c>
      <c r="T208" s="2"/>
      <c r="U208" s="2"/>
      <c r="V208" s="2"/>
      <c r="W208" s="9"/>
      <c r="X208" s="2"/>
      <c r="Y208" s="12"/>
      <c r="Z208" s="12"/>
      <c r="AA208" s="2" t="str">
        <f ca="1">Messy_Data!AA208</f>
        <v>OK</v>
      </c>
    </row>
    <row r="209" spans="1:27" x14ac:dyDescent="0.3">
      <c r="A209" s="2" t="str">
        <f>Messy_Data!B209</f>
        <v>EMP208</v>
      </c>
      <c r="B209" s="2" t="str">
        <f>Messy_Data!D209</f>
        <v>Ravi</v>
      </c>
      <c r="C209" s="2" t="str">
        <f>Messy_Data!F209</f>
        <v>HR</v>
      </c>
      <c r="D209" s="3">
        <f>Messy_Data!H209</f>
        <v>45007</v>
      </c>
      <c r="E209" s="3">
        <f ca="1">Messy_Data!J209</f>
        <v>45886</v>
      </c>
      <c r="F209" s="2">
        <f>Messy_Data!L209</f>
        <v>9831564684</v>
      </c>
      <c r="G209" s="2" t="str">
        <f>Messy_Data!N209</f>
        <v>ankit@gmail.com</v>
      </c>
      <c r="H209" s="12">
        <f>Messy_Data!O209</f>
        <v>66047</v>
      </c>
      <c r="I209" s="2" t="str">
        <f>Messy_Data!P209</f>
        <v>60K-80K</v>
      </c>
      <c r="J209" s="2"/>
      <c r="K209" s="2"/>
      <c r="L209" s="2"/>
      <c r="M209" s="2"/>
      <c r="N209" s="2"/>
      <c r="O209" s="2" t="str">
        <f>Messy_Data!S209</f>
        <v>M18</v>
      </c>
      <c r="P209" s="2" t="str">
        <f>Messy_Data!U209</f>
        <v>RESIGNED</v>
      </c>
      <c r="Q209" s="2">
        <f ca="1">Messy_Data!V209</f>
        <v>879</v>
      </c>
      <c r="R209" s="2">
        <f ca="1">Messy_Data!W209</f>
        <v>28</v>
      </c>
      <c r="S209" s="2">
        <f ca="1">Messy_Data!X209</f>
        <v>2</v>
      </c>
      <c r="T209" s="2"/>
      <c r="U209" s="2"/>
      <c r="V209" s="2"/>
      <c r="W209" s="9"/>
      <c r="X209" s="2"/>
      <c r="Y209" s="12"/>
      <c r="Z209" s="12"/>
      <c r="AA209" s="2" t="str">
        <f ca="1">Messy_Data!AA209</f>
        <v>OK</v>
      </c>
    </row>
    <row r="210" spans="1:27" x14ac:dyDescent="0.3">
      <c r="A210" s="2" t="str">
        <f>Messy_Data!B210</f>
        <v>EMP209</v>
      </c>
      <c r="B210" s="2" t="str">
        <f>Messy_Data!D210</f>
        <v>Sunita</v>
      </c>
      <c r="C210" s="2" t="str">
        <f>Messy_Data!F210</f>
        <v>SALES</v>
      </c>
      <c r="D210" s="3">
        <f>Messy_Data!H210</f>
        <v>45014</v>
      </c>
      <c r="E210" s="3">
        <f ca="1">Messy_Data!J210</f>
        <v>45911</v>
      </c>
      <c r="F210" s="2">
        <f>Messy_Data!L210</f>
        <v>9703749598</v>
      </c>
      <c r="G210" s="2" t="str">
        <f>Messy_Data!N210</f>
        <v>ravi@company.com</v>
      </c>
      <c r="H210" s="12">
        <f>Messy_Data!O210</f>
        <v>54362</v>
      </c>
      <c r="I210" s="2" t="str">
        <f>Messy_Data!P210</f>
        <v>40K-60K</v>
      </c>
      <c r="J210" s="2"/>
      <c r="K210" s="2"/>
      <c r="L210" s="2"/>
      <c r="M210" s="2"/>
      <c r="N210" s="2"/>
      <c r="O210" s="2" t="str">
        <f>Messy_Data!S210</f>
        <v>M14</v>
      </c>
      <c r="P210" s="2" t="str">
        <f>Messy_Data!U210</f>
        <v>ACTIVE</v>
      </c>
      <c r="Q210" s="2">
        <f ca="1">Messy_Data!V210</f>
        <v>897</v>
      </c>
      <c r="R210" s="2">
        <f ca="1">Messy_Data!W210</f>
        <v>29</v>
      </c>
      <c r="S210" s="2">
        <f ca="1">Messy_Data!X210</f>
        <v>2</v>
      </c>
      <c r="T210" s="2"/>
      <c r="U210" s="2"/>
      <c r="V210" s="2"/>
      <c r="W210" s="9"/>
      <c r="X210" s="2"/>
      <c r="Y210" s="12"/>
      <c r="Z210" s="12"/>
      <c r="AA210" s="2" t="str">
        <f ca="1">Messy_Data!AA210</f>
        <v>OK</v>
      </c>
    </row>
    <row r="211" spans="1:27" x14ac:dyDescent="0.3">
      <c r="A211" s="2" t="str">
        <f>Messy_Data!B211</f>
        <v>EMP210</v>
      </c>
      <c r="B211" s="2" t="str">
        <f>Messy_Data!D211</f>
        <v>Suresh</v>
      </c>
      <c r="C211" s="2" t="str">
        <f>Messy_Data!F211</f>
        <v>HR</v>
      </c>
      <c r="D211" s="3">
        <f>Messy_Data!H211</f>
        <v>44886</v>
      </c>
      <c r="E211" s="3">
        <f ca="1">Messy_Data!J211</f>
        <v>46024</v>
      </c>
      <c r="F211" s="2">
        <f>Messy_Data!L211</f>
        <v>9702606522</v>
      </c>
      <c r="G211" s="2" t="str">
        <f>Messy_Data!N211</f>
        <v>rahul@company.com</v>
      </c>
      <c r="H211" s="12">
        <f>Messy_Data!O211</f>
        <v>67393</v>
      </c>
      <c r="I211" s="2" t="str">
        <f>Messy_Data!P211</f>
        <v>60K-80K</v>
      </c>
      <c r="J211" s="2"/>
      <c r="K211" s="2"/>
      <c r="L211" s="2"/>
      <c r="M211" s="2"/>
      <c r="N211" s="2"/>
      <c r="O211" s="2" t="str">
        <f>Messy_Data!S211</f>
        <v>M5</v>
      </c>
      <c r="P211" s="2" t="str">
        <f>Messy_Data!U211</f>
        <v>ACTIVE</v>
      </c>
      <c r="Q211" s="2">
        <f ca="1">Messy_Data!V211</f>
        <v>1138</v>
      </c>
      <c r="R211" s="2">
        <f ca="1">Messy_Data!W211</f>
        <v>37</v>
      </c>
      <c r="S211" s="2">
        <f ca="1">Messy_Data!X211</f>
        <v>3</v>
      </c>
      <c r="T211" s="2"/>
      <c r="U211" s="2"/>
      <c r="V211" s="2"/>
      <c r="W211" s="9"/>
      <c r="X211" s="2"/>
      <c r="Y211" s="12"/>
      <c r="Z211" s="12"/>
      <c r="AA211" s="2" t="str">
        <f ca="1">Messy_Data!AA211</f>
        <v>OK</v>
      </c>
    </row>
    <row r="212" spans="1:27" x14ac:dyDescent="0.3">
      <c r="A212" s="2" t="str">
        <f>Messy_Data!B212</f>
        <v>EMP211</v>
      </c>
      <c r="B212" s="2" t="str">
        <f>Messy_Data!D212</f>
        <v>Suresh</v>
      </c>
      <c r="C212" s="2" t="str">
        <f>Messy_Data!F212</f>
        <v>SALES</v>
      </c>
      <c r="D212" s="3">
        <f>Messy_Data!H212</f>
        <v>45067</v>
      </c>
      <c r="E212" s="3">
        <f ca="1">Messy_Data!J212</f>
        <v>45592</v>
      </c>
      <c r="F212" s="2">
        <f>Messy_Data!L212</f>
        <v>9221007941</v>
      </c>
      <c r="G212" s="2" t="str">
        <f>Messy_Data!N212</f>
        <v>suresh@company.com</v>
      </c>
      <c r="H212" s="12">
        <f>Messy_Data!O212</f>
        <v>91862</v>
      </c>
      <c r="I212" s="2" t="str">
        <f>Messy_Data!P212</f>
        <v>Above 80K</v>
      </c>
      <c r="J212" s="2"/>
      <c r="K212" s="2"/>
      <c r="L212" s="2"/>
      <c r="M212" s="2"/>
      <c r="N212" s="2"/>
      <c r="O212" s="2" t="str">
        <f>Messy_Data!S212</f>
        <v>M20</v>
      </c>
      <c r="P212" s="2" t="str">
        <f>Messy_Data!U212</f>
        <v>RESIGNED</v>
      </c>
      <c r="Q212" s="2">
        <f ca="1">Messy_Data!V212</f>
        <v>525</v>
      </c>
      <c r="R212" s="2">
        <f ca="1">Messy_Data!W212</f>
        <v>17</v>
      </c>
      <c r="S212" s="2">
        <f ca="1">Messy_Data!X212</f>
        <v>1</v>
      </c>
      <c r="T212" s="2"/>
      <c r="U212" s="2"/>
      <c r="V212" s="2"/>
      <c r="W212" s="9"/>
      <c r="X212" s="2"/>
      <c r="Y212" s="12"/>
      <c r="Z212" s="12"/>
      <c r="AA212" s="2" t="str">
        <f ca="1">Messy_Data!AA212</f>
        <v>CHECK</v>
      </c>
    </row>
    <row r="213" spans="1:27" x14ac:dyDescent="0.3">
      <c r="A213" s="2" t="str">
        <f>Messy_Data!B213</f>
        <v>EMP212</v>
      </c>
      <c r="B213" s="2" t="str">
        <f>Messy_Data!D213</f>
        <v>Suresh</v>
      </c>
      <c r="C213" s="2" t="str">
        <f>Messy_Data!F213</f>
        <v>IT</v>
      </c>
      <c r="D213" s="3">
        <f>Messy_Data!H213</f>
        <v>44812</v>
      </c>
      <c r="E213" s="3">
        <f ca="1">Messy_Data!J213</f>
        <v>45388</v>
      </c>
      <c r="F213" s="2">
        <f>Messy_Data!L213</f>
        <v>9299936221</v>
      </c>
      <c r="G213" s="2" t="str">
        <f>Messy_Data!N213</f>
        <v>suresh@company.com</v>
      </c>
      <c r="H213" s="12">
        <f>Messy_Data!O213</f>
        <v>33813</v>
      </c>
      <c r="I213" s="2" t="str">
        <f>Messy_Data!P213</f>
        <v>20K-40K</v>
      </c>
      <c r="J213" s="2"/>
      <c r="K213" s="2"/>
      <c r="L213" s="2"/>
      <c r="M213" s="2"/>
      <c r="N213" s="2"/>
      <c r="O213" s="2" t="str">
        <f>Messy_Data!S213</f>
        <v>M16</v>
      </c>
      <c r="P213" s="2" t="str">
        <f>Messy_Data!U213</f>
        <v>ACTIVE</v>
      </c>
      <c r="Q213" s="2">
        <f ca="1">Messy_Data!V213</f>
        <v>576</v>
      </c>
      <c r="R213" s="2">
        <f ca="1">Messy_Data!W213</f>
        <v>18</v>
      </c>
      <c r="S213" s="2">
        <f ca="1">Messy_Data!X213</f>
        <v>1</v>
      </c>
      <c r="T213" s="2"/>
      <c r="U213" s="2"/>
      <c r="V213" s="2"/>
      <c r="W213" s="9"/>
      <c r="X213" s="2"/>
      <c r="Y213" s="12"/>
      <c r="Z213" s="12"/>
      <c r="AA213" s="2" t="str">
        <f ca="1">Messy_Data!AA213</f>
        <v>OK</v>
      </c>
    </row>
    <row r="214" spans="1:27" x14ac:dyDescent="0.3">
      <c r="A214" s="2" t="str">
        <f>Messy_Data!B214</f>
        <v>EMP213</v>
      </c>
      <c r="B214" s="2" t="str">
        <f>Messy_Data!D214</f>
        <v>Rahul</v>
      </c>
      <c r="C214" s="2" t="str">
        <f>Messy_Data!F214</f>
        <v>FINANCE</v>
      </c>
      <c r="D214" s="3">
        <f>Messy_Data!H214</f>
        <v>44389</v>
      </c>
      <c r="E214" s="3">
        <f ca="1">Messy_Data!J214</f>
        <v>45569</v>
      </c>
      <c r="F214" s="2">
        <f>Messy_Data!L214</f>
        <v>9390513140</v>
      </c>
      <c r="G214" s="2" t="str">
        <f>Messy_Data!N214</f>
        <v>pooja@company.com</v>
      </c>
      <c r="H214" s="12">
        <f>Messy_Data!O214</f>
        <v>77493</v>
      </c>
      <c r="I214" s="2" t="str">
        <f>Messy_Data!P214</f>
        <v>60K-80K</v>
      </c>
      <c r="J214" s="2"/>
      <c r="K214" s="2"/>
      <c r="L214" s="2"/>
      <c r="M214" s="2"/>
      <c r="N214" s="2"/>
      <c r="O214" s="2" t="str">
        <f>Messy_Data!S214</f>
        <v>M17</v>
      </c>
      <c r="P214" s="2" t="str">
        <f>Messy_Data!U214</f>
        <v>ACTIVE</v>
      </c>
      <c r="Q214" s="2">
        <f ca="1">Messy_Data!V214</f>
        <v>1180</v>
      </c>
      <c r="R214" s="2">
        <f ca="1">Messy_Data!W214</f>
        <v>38</v>
      </c>
      <c r="S214" s="2">
        <f ca="1">Messy_Data!X214</f>
        <v>3</v>
      </c>
      <c r="T214" s="2"/>
      <c r="U214" s="2"/>
      <c r="V214" s="2"/>
      <c r="W214" s="9"/>
      <c r="X214" s="2"/>
      <c r="Y214" s="12"/>
      <c r="Z214" s="12"/>
      <c r="AA214" s="2" t="str">
        <f ca="1">Messy_Data!AA214</f>
        <v>OK</v>
      </c>
    </row>
    <row r="215" spans="1:27" x14ac:dyDescent="0.3">
      <c r="A215" s="2" t="str">
        <f>Messy_Data!B215</f>
        <v>EMP214</v>
      </c>
      <c r="B215" s="2" t="str">
        <f>Messy_Data!D215</f>
        <v>Suresh</v>
      </c>
      <c r="C215" s="2" t="str">
        <f>Messy_Data!F215</f>
        <v>IT</v>
      </c>
      <c r="D215" s="3">
        <f>Messy_Data!H215</f>
        <v>43605</v>
      </c>
      <c r="E215" s="3">
        <f ca="1">Messy_Data!J215</f>
        <v>44040</v>
      </c>
      <c r="F215" s="2">
        <f>Messy_Data!L215</f>
        <v>9638614637</v>
      </c>
      <c r="G215" s="2" t="str">
        <f>Messy_Data!N215</f>
        <v>ravi@company.com</v>
      </c>
      <c r="H215" s="12">
        <f>Messy_Data!O215</f>
        <v>66939</v>
      </c>
      <c r="I215" s="2" t="str">
        <f>Messy_Data!P215</f>
        <v>60K-80K</v>
      </c>
      <c r="J215" s="2"/>
      <c r="K215" s="2"/>
      <c r="L215" s="2"/>
      <c r="M215" s="2"/>
      <c r="N215" s="2"/>
      <c r="O215" s="2" t="str">
        <f>Messy_Data!S215</f>
        <v>M24</v>
      </c>
      <c r="P215" s="2" t="str">
        <f>Messy_Data!U215</f>
        <v>ON HOLD</v>
      </c>
      <c r="Q215" s="2">
        <f ca="1">Messy_Data!V215</f>
        <v>435</v>
      </c>
      <c r="R215" s="2">
        <f ca="1">Messy_Data!W215</f>
        <v>14</v>
      </c>
      <c r="S215" s="2">
        <f ca="1">Messy_Data!X215</f>
        <v>1</v>
      </c>
      <c r="T215" s="2"/>
      <c r="U215" s="2"/>
      <c r="V215" s="2"/>
      <c r="W215" s="9"/>
      <c r="X215" s="2"/>
      <c r="Y215" s="12"/>
      <c r="Z215" s="12"/>
      <c r="AA215" s="2" t="str">
        <f ca="1">Messy_Data!AA215</f>
        <v>OK</v>
      </c>
    </row>
    <row r="216" spans="1:27" x14ac:dyDescent="0.3">
      <c r="A216" s="2" t="str">
        <f>Messy_Data!B216</f>
        <v>EMP215</v>
      </c>
      <c r="B216" s="2" t="str">
        <f>Messy_Data!D216</f>
        <v>Kiran</v>
      </c>
      <c r="C216" s="2" t="str">
        <f>Messy_Data!F216</f>
        <v>SALES</v>
      </c>
      <c r="D216" s="3">
        <f>Messy_Data!H216</f>
        <v>44366</v>
      </c>
      <c r="E216" s="3">
        <f ca="1">Messy_Data!J216</f>
        <v>45078</v>
      </c>
      <c r="F216" s="2">
        <f>Messy_Data!L216</f>
        <v>9369495615</v>
      </c>
      <c r="G216" s="2" t="str">
        <f>Messy_Data!N216</f>
        <v>sunita@company.com</v>
      </c>
      <c r="H216" s="12">
        <f>Messy_Data!O216</f>
        <v>82172</v>
      </c>
      <c r="I216" s="2" t="str">
        <f>Messy_Data!P216</f>
        <v>Above 80K</v>
      </c>
      <c r="J216" s="2"/>
      <c r="K216" s="2"/>
      <c r="L216" s="2"/>
      <c r="M216" s="2"/>
      <c r="N216" s="2"/>
      <c r="O216" s="2" t="str">
        <f>Messy_Data!S216</f>
        <v>M16</v>
      </c>
      <c r="P216" s="2" t="str">
        <f>Messy_Data!U216</f>
        <v>ACTIVE</v>
      </c>
      <c r="Q216" s="2">
        <f ca="1">Messy_Data!V216</f>
        <v>712</v>
      </c>
      <c r="R216" s="2">
        <f ca="1">Messy_Data!W216</f>
        <v>23</v>
      </c>
      <c r="S216" s="2">
        <f ca="1">Messy_Data!X216</f>
        <v>1</v>
      </c>
      <c r="T216" s="2"/>
      <c r="U216" s="2"/>
      <c r="V216" s="2"/>
      <c r="W216" s="9"/>
      <c r="X216" s="2"/>
      <c r="Y216" s="12"/>
      <c r="Z216" s="12"/>
      <c r="AA216" s="2" t="str">
        <f ca="1">Messy_Data!AA216</f>
        <v>CHECK</v>
      </c>
    </row>
    <row r="217" spans="1:27" x14ac:dyDescent="0.3">
      <c r="A217" s="2" t="str">
        <f>Messy_Data!B217</f>
        <v>EMP216</v>
      </c>
      <c r="B217" s="2" t="str">
        <f>Messy_Data!D217</f>
        <v>Neha</v>
      </c>
      <c r="C217" s="2" t="str">
        <f>Messy_Data!F217</f>
        <v>FINANCE</v>
      </c>
      <c r="D217" s="3">
        <f>Messy_Data!H217</f>
        <v>44050</v>
      </c>
      <c r="E217" s="3">
        <f ca="1">Messy_Data!J217</f>
        <v>44547</v>
      </c>
      <c r="F217" s="2">
        <f>Messy_Data!L217</f>
        <v>9729153822</v>
      </c>
      <c r="G217" s="2" t="str">
        <f>Messy_Data!N217</f>
        <v>sunita@gmail.com</v>
      </c>
      <c r="H217" s="12">
        <f>Messy_Data!O217</f>
        <v>79915</v>
      </c>
      <c r="I217" s="2" t="str">
        <f>Messy_Data!P217</f>
        <v>60K-80K</v>
      </c>
      <c r="J217" s="2"/>
      <c r="K217" s="2"/>
      <c r="L217" s="2"/>
      <c r="M217" s="2"/>
      <c r="N217" s="2"/>
      <c r="O217" s="2" t="str">
        <f>Messy_Data!S217</f>
        <v>M7</v>
      </c>
      <c r="P217" s="2" t="str">
        <f>Messy_Data!U217</f>
        <v>ON HOLD</v>
      </c>
      <c r="Q217" s="2">
        <f ca="1">Messy_Data!V217</f>
        <v>497</v>
      </c>
      <c r="R217" s="2">
        <f ca="1">Messy_Data!W217</f>
        <v>16</v>
      </c>
      <c r="S217" s="2">
        <f ca="1">Messy_Data!X217</f>
        <v>1</v>
      </c>
      <c r="T217" s="2"/>
      <c r="U217" s="2"/>
      <c r="V217" s="2"/>
      <c r="W217" s="9"/>
      <c r="X217" s="2"/>
      <c r="Y217" s="12"/>
      <c r="Z217" s="12"/>
      <c r="AA217" s="2" t="str">
        <f ca="1">Messy_Data!AA217</f>
        <v>OK</v>
      </c>
    </row>
    <row r="218" spans="1:27" x14ac:dyDescent="0.3">
      <c r="A218" s="2" t="str">
        <f>Messy_Data!B218</f>
        <v>EMP217</v>
      </c>
      <c r="B218" s="2" t="str">
        <f>Messy_Data!D218</f>
        <v>Rahul</v>
      </c>
      <c r="C218" s="2" t="str">
        <f>Messy_Data!F218</f>
        <v>FINANCE</v>
      </c>
      <c r="D218" s="3">
        <f>Messy_Data!H218</f>
        <v>44743</v>
      </c>
      <c r="E218" s="3">
        <f ca="1">Messy_Data!J218</f>
        <v>46024</v>
      </c>
      <c r="F218" s="2">
        <f>Messy_Data!L218</f>
        <v>9706095652</v>
      </c>
      <c r="G218" s="2" t="str">
        <f>Messy_Data!N218</f>
        <v>kiran@company.com</v>
      </c>
      <c r="H218" s="12">
        <f>Messy_Data!O218</f>
        <v>22806</v>
      </c>
      <c r="I218" s="2" t="str">
        <f>Messy_Data!P218</f>
        <v>20K-40K</v>
      </c>
      <c r="J218" s="2"/>
      <c r="K218" s="2"/>
      <c r="L218" s="2"/>
      <c r="M218" s="2"/>
      <c r="N218" s="2"/>
      <c r="O218" s="2" t="str">
        <f>Messy_Data!S218</f>
        <v>M24</v>
      </c>
      <c r="P218" s="2" t="str">
        <f>Messy_Data!U218</f>
        <v>RESIGNED</v>
      </c>
      <c r="Q218" s="2">
        <f ca="1">Messy_Data!V218</f>
        <v>1281</v>
      </c>
      <c r="R218" s="2">
        <f ca="1">Messy_Data!W218</f>
        <v>42</v>
      </c>
      <c r="S218" s="2">
        <f ca="1">Messy_Data!X218</f>
        <v>3</v>
      </c>
      <c r="T218" s="2"/>
      <c r="U218" s="2"/>
      <c r="V218" s="2"/>
      <c r="W218" s="9"/>
      <c r="X218" s="2"/>
      <c r="Y218" s="12"/>
      <c r="Z218" s="12"/>
      <c r="AA218" s="2" t="str">
        <f ca="1">Messy_Data!AA218</f>
        <v>OK</v>
      </c>
    </row>
    <row r="219" spans="1:27" x14ac:dyDescent="0.3">
      <c r="A219" s="2" t="str">
        <f>Messy_Data!B219</f>
        <v>EMP218</v>
      </c>
      <c r="B219" s="2" t="str">
        <f>Messy_Data!D219</f>
        <v>Rahul</v>
      </c>
      <c r="C219" s="2" t="str">
        <f>Messy_Data!F219</f>
        <v>IT</v>
      </c>
      <c r="D219" s="3">
        <f>Messy_Data!H219</f>
        <v>44122</v>
      </c>
      <c r="E219" s="3">
        <f ca="1">Messy_Data!J219</f>
        <v>44497</v>
      </c>
      <c r="F219" s="2">
        <f>Messy_Data!L219</f>
        <v>9945167466</v>
      </c>
      <c r="G219" s="2" t="str">
        <f>Messy_Data!N219</f>
        <v>pooja@company.com</v>
      </c>
      <c r="H219" s="12">
        <f>Messy_Data!O219</f>
        <v>92570</v>
      </c>
      <c r="I219" s="2" t="str">
        <f>Messy_Data!P219</f>
        <v>Above 80K</v>
      </c>
      <c r="J219" s="2"/>
      <c r="K219" s="2"/>
      <c r="L219" s="2"/>
      <c r="M219" s="2"/>
      <c r="N219" s="2"/>
      <c r="O219" s="2" t="str">
        <f>Messy_Data!S219</f>
        <v>M8</v>
      </c>
      <c r="P219" s="2" t="str">
        <f>Messy_Data!U219</f>
        <v>ACTIVE</v>
      </c>
      <c r="Q219" s="2">
        <f ca="1">Messy_Data!V219</f>
        <v>375</v>
      </c>
      <c r="R219" s="2">
        <f ca="1">Messy_Data!W219</f>
        <v>12</v>
      </c>
      <c r="S219" s="2">
        <f ca="1">Messy_Data!X219</f>
        <v>1</v>
      </c>
      <c r="T219" s="2"/>
      <c r="U219" s="2"/>
      <c r="V219" s="2"/>
      <c r="W219" s="9"/>
      <c r="X219" s="2"/>
      <c r="Y219" s="12"/>
      <c r="Z219" s="12"/>
      <c r="AA219" s="2" t="str">
        <f ca="1">Messy_Data!AA219</f>
        <v>CHECK</v>
      </c>
    </row>
    <row r="220" spans="1:27" x14ac:dyDescent="0.3">
      <c r="A220" s="2" t="str">
        <f>Messy_Data!B220</f>
        <v>EMP219</v>
      </c>
      <c r="B220" s="2" t="str">
        <f>Messy_Data!D220</f>
        <v>Rahul</v>
      </c>
      <c r="C220" s="2" t="str">
        <f>Messy_Data!F220</f>
        <v>SALES</v>
      </c>
      <c r="D220" s="3">
        <f>Messy_Data!H220</f>
        <v>44240</v>
      </c>
      <c r="E220" s="3">
        <f ca="1">Messy_Data!J220</f>
        <v>45025</v>
      </c>
      <c r="F220" s="2">
        <f>Messy_Data!L220</f>
        <v>9903535440</v>
      </c>
      <c r="G220" s="2" t="str">
        <f>Messy_Data!N220</f>
        <v>pooja@company.com</v>
      </c>
      <c r="H220" s="12">
        <f>Messy_Data!O220</f>
        <v>55481</v>
      </c>
      <c r="I220" s="2" t="str">
        <f>Messy_Data!P220</f>
        <v>40K-60K</v>
      </c>
      <c r="J220" s="2"/>
      <c r="K220" s="2"/>
      <c r="L220" s="2"/>
      <c r="M220" s="2"/>
      <c r="N220" s="2"/>
      <c r="O220" s="2" t="str">
        <f>Messy_Data!S220</f>
        <v>M10</v>
      </c>
      <c r="P220" s="2" t="str">
        <f>Messy_Data!U220</f>
        <v>ON HOLD</v>
      </c>
      <c r="Q220" s="2">
        <f ca="1">Messy_Data!V220</f>
        <v>785</v>
      </c>
      <c r="R220" s="2">
        <f ca="1">Messy_Data!W220</f>
        <v>25</v>
      </c>
      <c r="S220" s="2">
        <f ca="1">Messy_Data!X220</f>
        <v>2</v>
      </c>
      <c r="T220" s="2"/>
      <c r="U220" s="2"/>
      <c r="V220" s="2"/>
      <c r="W220" s="9"/>
      <c r="X220" s="2"/>
      <c r="Y220" s="12"/>
      <c r="Z220" s="12"/>
      <c r="AA220" s="2" t="str">
        <f ca="1">Messy_Data!AA220</f>
        <v>OK</v>
      </c>
    </row>
    <row r="221" spans="1:27" x14ac:dyDescent="0.3">
      <c r="A221" s="2" t="str">
        <f>Messy_Data!B221</f>
        <v>EMP220</v>
      </c>
      <c r="B221" s="2" t="str">
        <f>Messy_Data!D221</f>
        <v>Amit</v>
      </c>
      <c r="C221" s="2" t="str">
        <f>Messy_Data!F221</f>
        <v>IT</v>
      </c>
      <c r="D221" s="3">
        <f>Messy_Data!H221</f>
        <v>43821</v>
      </c>
      <c r="E221" s="3">
        <f ca="1">Messy_Data!J221</f>
        <v>45274</v>
      </c>
      <c r="F221" s="2">
        <f>Messy_Data!L221</f>
        <v>9981794832</v>
      </c>
      <c r="G221" s="2" t="str">
        <f>Messy_Data!N221</f>
        <v>suresh@company.com</v>
      </c>
      <c r="H221" s="12">
        <f>Messy_Data!O221</f>
        <v>24288</v>
      </c>
      <c r="I221" s="2" t="str">
        <f>Messy_Data!P221</f>
        <v>20K-40K</v>
      </c>
      <c r="J221" s="2"/>
      <c r="K221" s="2"/>
      <c r="L221" s="2"/>
      <c r="M221" s="2"/>
      <c r="N221" s="2"/>
      <c r="O221" s="2" t="str">
        <f>Messy_Data!S221</f>
        <v>M3</v>
      </c>
      <c r="P221" s="2" t="str">
        <f>Messy_Data!U221</f>
        <v>ON HOLD</v>
      </c>
      <c r="Q221" s="2">
        <f ca="1">Messy_Data!V221</f>
        <v>1453</v>
      </c>
      <c r="R221" s="2">
        <f ca="1">Messy_Data!W221</f>
        <v>47</v>
      </c>
      <c r="S221" s="2">
        <f ca="1">Messy_Data!X221</f>
        <v>3</v>
      </c>
      <c r="T221" s="2"/>
      <c r="U221" s="2"/>
      <c r="V221" s="2"/>
      <c r="W221" s="9"/>
      <c r="X221" s="2"/>
      <c r="Y221" s="12"/>
      <c r="Z221" s="12"/>
      <c r="AA221" s="2" t="str">
        <f ca="1">Messy_Data!AA221</f>
        <v>OK</v>
      </c>
    </row>
    <row r="222" spans="1:27" x14ac:dyDescent="0.3">
      <c r="A222" s="2" t="str">
        <f>Messy_Data!B222</f>
        <v>EMP221</v>
      </c>
      <c r="B222" s="2" t="str">
        <f>Messy_Data!D222</f>
        <v>Kiran</v>
      </c>
      <c r="C222" s="2" t="str">
        <f>Messy_Data!F222</f>
        <v>IT</v>
      </c>
      <c r="D222" s="3">
        <f>Messy_Data!H222</f>
        <v>44415</v>
      </c>
      <c r="E222" s="3">
        <f ca="1">Messy_Data!J222</f>
        <v>45090</v>
      </c>
      <c r="F222" s="2">
        <f>Messy_Data!L222</f>
        <v>9226092989</v>
      </c>
      <c r="G222" s="2" t="str">
        <f>Messy_Data!N222</f>
        <v>neha@company.com</v>
      </c>
      <c r="H222" s="12">
        <f>Messy_Data!O222</f>
        <v>70118</v>
      </c>
      <c r="I222" s="2" t="str">
        <f>Messy_Data!P222</f>
        <v>60K-80K</v>
      </c>
      <c r="J222" s="2"/>
      <c r="K222" s="2"/>
      <c r="L222" s="2"/>
      <c r="M222" s="2"/>
      <c r="N222" s="2"/>
      <c r="O222" s="2" t="str">
        <f>Messy_Data!S222</f>
        <v>M24</v>
      </c>
      <c r="P222" s="2" t="str">
        <f>Messy_Data!U222</f>
        <v>RESIGNED</v>
      </c>
      <c r="Q222" s="2">
        <f ca="1">Messy_Data!V222</f>
        <v>675</v>
      </c>
      <c r="R222" s="2">
        <f ca="1">Messy_Data!W222</f>
        <v>22</v>
      </c>
      <c r="S222" s="2">
        <f ca="1">Messy_Data!X222</f>
        <v>1</v>
      </c>
      <c r="T222" s="2"/>
      <c r="U222" s="2"/>
      <c r="V222" s="2"/>
      <c r="W222" s="9"/>
      <c r="X222" s="2"/>
      <c r="Y222" s="12"/>
      <c r="Z222" s="12"/>
      <c r="AA222" s="2" t="str">
        <f ca="1">Messy_Data!AA222</f>
        <v>OK</v>
      </c>
    </row>
    <row r="223" spans="1:27" x14ac:dyDescent="0.3">
      <c r="A223" s="2" t="str">
        <f>Messy_Data!B223</f>
        <v>EMP222</v>
      </c>
      <c r="B223" s="2" t="str">
        <f>Messy_Data!D223</f>
        <v>Rahul</v>
      </c>
      <c r="C223" s="2" t="str">
        <f>Messy_Data!F223</f>
        <v>IT</v>
      </c>
      <c r="D223" s="3">
        <f>Messy_Data!H223</f>
        <v>44403</v>
      </c>
      <c r="E223" s="3">
        <f ca="1">Messy_Data!J223</f>
        <v>45742</v>
      </c>
      <c r="F223" s="2">
        <f>Messy_Data!L223</f>
        <v>9198283491</v>
      </c>
      <c r="G223" s="2" t="str">
        <f>Messy_Data!N223</f>
        <v>neha@company.com</v>
      </c>
      <c r="H223" s="12">
        <f>Messy_Data!O223</f>
        <v>79530</v>
      </c>
      <c r="I223" s="2" t="str">
        <f>Messy_Data!P223</f>
        <v>60K-80K</v>
      </c>
      <c r="J223" s="2"/>
      <c r="K223" s="2"/>
      <c r="L223" s="2"/>
      <c r="M223" s="2"/>
      <c r="N223" s="2"/>
      <c r="O223" s="2" t="str">
        <f>Messy_Data!S223</f>
        <v>M25</v>
      </c>
      <c r="P223" s="2" t="str">
        <f>Messy_Data!U223</f>
        <v>ACTIVE</v>
      </c>
      <c r="Q223" s="2">
        <f ca="1">Messy_Data!V223</f>
        <v>1339</v>
      </c>
      <c r="R223" s="2">
        <f ca="1">Messy_Data!W223</f>
        <v>44</v>
      </c>
      <c r="S223" s="2">
        <f ca="1">Messy_Data!X223</f>
        <v>3</v>
      </c>
      <c r="T223" s="2"/>
      <c r="U223" s="2"/>
      <c r="V223" s="2"/>
      <c r="W223" s="9"/>
      <c r="X223" s="2"/>
      <c r="Y223" s="12"/>
      <c r="Z223" s="12"/>
      <c r="AA223" s="2" t="str">
        <f ca="1">Messy_Data!AA223</f>
        <v>OK</v>
      </c>
    </row>
    <row r="224" spans="1:27" x14ac:dyDescent="0.3">
      <c r="A224" s="2" t="str">
        <f>Messy_Data!B224</f>
        <v>EMP223</v>
      </c>
      <c r="B224" s="2" t="str">
        <f>Messy_Data!D224</f>
        <v>Vikas</v>
      </c>
      <c r="C224" s="2" t="str">
        <f>Messy_Data!F224</f>
        <v>IT</v>
      </c>
      <c r="D224" s="3">
        <f>Messy_Data!H224</f>
        <v>44793</v>
      </c>
      <c r="E224" s="3">
        <f ca="1">Messy_Data!J224</f>
        <v>45374</v>
      </c>
      <c r="F224" s="2">
        <f>Messy_Data!L224</f>
        <v>9865491174</v>
      </c>
      <c r="G224" s="2" t="str">
        <f>Messy_Data!N224</f>
        <v>ravi@company.com</v>
      </c>
      <c r="H224" s="12">
        <f>Messy_Data!O224</f>
        <v>29607</v>
      </c>
      <c r="I224" s="2" t="str">
        <f>Messy_Data!P224</f>
        <v>20K-40K</v>
      </c>
      <c r="J224" s="2"/>
      <c r="K224" s="2"/>
      <c r="L224" s="2"/>
      <c r="M224" s="2"/>
      <c r="N224" s="2"/>
      <c r="O224" s="2" t="str">
        <f>Messy_Data!S224</f>
        <v>M6</v>
      </c>
      <c r="P224" s="2" t="str">
        <f>Messy_Data!U224</f>
        <v>ON HOLD</v>
      </c>
      <c r="Q224" s="2">
        <f ca="1">Messy_Data!V224</f>
        <v>581</v>
      </c>
      <c r="R224" s="2">
        <f ca="1">Messy_Data!W224</f>
        <v>19</v>
      </c>
      <c r="S224" s="2">
        <f ca="1">Messy_Data!X224</f>
        <v>1</v>
      </c>
      <c r="T224" s="2"/>
      <c r="U224" s="2"/>
      <c r="V224" s="2"/>
      <c r="W224" s="9"/>
      <c r="X224" s="2"/>
      <c r="Y224" s="12"/>
      <c r="Z224" s="12"/>
      <c r="AA224" s="2" t="str">
        <f ca="1">Messy_Data!AA224</f>
        <v>OK</v>
      </c>
    </row>
    <row r="225" spans="1:27" x14ac:dyDescent="0.3">
      <c r="A225" s="2" t="str">
        <f>Messy_Data!B225</f>
        <v>EMP224</v>
      </c>
      <c r="B225" s="2" t="str">
        <f>Messy_Data!D225</f>
        <v>Ravi</v>
      </c>
      <c r="C225" s="2" t="str">
        <f>Messy_Data!F225</f>
        <v>IT</v>
      </c>
      <c r="D225" s="3">
        <f>Messy_Data!H225</f>
        <v>44684</v>
      </c>
      <c r="E225" s="3">
        <f ca="1">Messy_Data!J225</f>
        <v>46024</v>
      </c>
      <c r="F225" s="2">
        <f>Messy_Data!L225</f>
        <v>9439336245</v>
      </c>
      <c r="G225" s="2" t="str">
        <f>Messy_Data!N225</f>
        <v>ravi@gmail.com</v>
      </c>
      <c r="H225" s="12">
        <f>Messy_Data!O225</f>
        <v>44032</v>
      </c>
      <c r="I225" s="2" t="str">
        <f>Messy_Data!P225</f>
        <v>40K-60K</v>
      </c>
      <c r="J225" s="2"/>
      <c r="K225" s="2"/>
      <c r="L225" s="2"/>
      <c r="M225" s="2"/>
      <c r="N225" s="2"/>
      <c r="O225" s="2" t="str">
        <f>Messy_Data!S225</f>
        <v>M5</v>
      </c>
      <c r="P225" s="2" t="str">
        <f>Messy_Data!U225</f>
        <v>RESIGNED</v>
      </c>
      <c r="Q225" s="2">
        <f ca="1">Messy_Data!V225</f>
        <v>1340</v>
      </c>
      <c r="R225" s="2">
        <f ca="1">Messy_Data!W225</f>
        <v>43</v>
      </c>
      <c r="S225" s="2">
        <f ca="1">Messy_Data!X225</f>
        <v>3</v>
      </c>
      <c r="T225" s="2"/>
      <c r="U225" s="2"/>
      <c r="V225" s="2"/>
      <c r="W225" s="9"/>
      <c r="X225" s="2"/>
      <c r="Y225" s="12"/>
      <c r="Z225" s="12"/>
      <c r="AA225" s="2" t="str">
        <f ca="1">Messy_Data!AA225</f>
        <v>OK</v>
      </c>
    </row>
    <row r="226" spans="1:27" x14ac:dyDescent="0.3">
      <c r="A226" s="2" t="str">
        <f>Messy_Data!B226</f>
        <v>EMP225</v>
      </c>
      <c r="B226" s="2" t="str">
        <f>Messy_Data!D226</f>
        <v>Vikas</v>
      </c>
      <c r="C226" s="2" t="str">
        <f>Messy_Data!F226</f>
        <v>SALES</v>
      </c>
      <c r="D226" s="3">
        <f>Messy_Data!H226</f>
        <v>44639</v>
      </c>
      <c r="E226" s="3">
        <f ca="1">Messy_Data!J226</f>
        <v>45863</v>
      </c>
      <c r="F226" s="2">
        <f>Messy_Data!L226</f>
        <v>9797845173</v>
      </c>
      <c r="G226" s="2" t="str">
        <f>Messy_Data!N226</f>
        <v>amit@company.com</v>
      </c>
      <c r="H226" s="12">
        <f>Messy_Data!O226</f>
        <v>87809</v>
      </c>
      <c r="I226" s="2" t="str">
        <f>Messy_Data!P226</f>
        <v>Above 80K</v>
      </c>
      <c r="J226" s="2"/>
      <c r="K226" s="2"/>
      <c r="L226" s="2"/>
      <c r="M226" s="2"/>
      <c r="N226" s="2"/>
      <c r="O226" s="2" t="str">
        <f>Messy_Data!S226</f>
        <v>M7</v>
      </c>
      <c r="P226" s="2" t="str">
        <f>Messy_Data!U226</f>
        <v>ON HOLD</v>
      </c>
      <c r="Q226" s="2">
        <f ca="1">Messy_Data!V226</f>
        <v>1224</v>
      </c>
      <c r="R226" s="2">
        <f ca="1">Messy_Data!W226</f>
        <v>40</v>
      </c>
      <c r="S226" s="2">
        <f ca="1">Messy_Data!X226</f>
        <v>3</v>
      </c>
      <c r="T226" s="2"/>
      <c r="U226" s="2"/>
      <c r="V226" s="2"/>
      <c r="W226" s="9"/>
      <c r="X226" s="2"/>
      <c r="Y226" s="12"/>
      <c r="Z226" s="12"/>
      <c r="AA226" s="2" t="str">
        <f ca="1">Messy_Data!AA226</f>
        <v>OK</v>
      </c>
    </row>
    <row r="227" spans="1:27" x14ac:dyDescent="0.3">
      <c r="A227" s="2" t="str">
        <f>Messy_Data!B227</f>
        <v>EMP226</v>
      </c>
      <c r="B227" s="2" t="str">
        <f>Messy_Data!D227</f>
        <v>Rahul</v>
      </c>
      <c r="C227" s="2" t="str">
        <f>Messy_Data!F227</f>
        <v>SALES</v>
      </c>
      <c r="D227" s="3">
        <f>Messy_Data!H227</f>
        <v>44375</v>
      </c>
      <c r="E227" s="3">
        <f ca="1">Messy_Data!J227</f>
        <v>45145</v>
      </c>
      <c r="F227" s="2">
        <f>Messy_Data!L227</f>
        <v>9376123788</v>
      </c>
      <c r="G227" s="2" t="str">
        <f>Messy_Data!N227</f>
        <v>sunita@company.com</v>
      </c>
      <c r="H227" s="12">
        <f>Messy_Data!O227</f>
        <v>90697</v>
      </c>
      <c r="I227" s="2" t="str">
        <f>Messy_Data!P227</f>
        <v>Above 80K</v>
      </c>
      <c r="J227" s="2"/>
      <c r="K227" s="2"/>
      <c r="L227" s="2"/>
      <c r="M227" s="2"/>
      <c r="N227" s="2"/>
      <c r="O227" s="2" t="str">
        <f>Messy_Data!S227</f>
        <v>M1</v>
      </c>
      <c r="P227" s="2" t="str">
        <f>Messy_Data!U227</f>
        <v>ACTIVE</v>
      </c>
      <c r="Q227" s="2">
        <f ca="1">Messy_Data!V227</f>
        <v>770</v>
      </c>
      <c r="R227" s="2">
        <f ca="1">Messy_Data!W227</f>
        <v>25</v>
      </c>
      <c r="S227" s="2">
        <f ca="1">Messy_Data!X227</f>
        <v>2</v>
      </c>
      <c r="T227" s="2"/>
      <c r="U227" s="2"/>
      <c r="V227" s="2"/>
      <c r="W227" s="9"/>
      <c r="X227" s="2"/>
      <c r="Y227" s="12"/>
      <c r="Z227" s="12"/>
      <c r="AA227" s="2" t="str">
        <f ca="1">Messy_Data!AA227</f>
        <v>OK</v>
      </c>
    </row>
    <row r="228" spans="1:27" x14ac:dyDescent="0.3">
      <c r="A228" s="2" t="str">
        <f>Messy_Data!B228</f>
        <v>EMP227</v>
      </c>
      <c r="B228" s="2" t="str">
        <f>Messy_Data!D228</f>
        <v>Suresh</v>
      </c>
      <c r="C228" s="2" t="str">
        <f>Messy_Data!F228</f>
        <v>IT</v>
      </c>
      <c r="D228" s="3">
        <f>Messy_Data!H228</f>
        <v>44556</v>
      </c>
      <c r="E228" s="3">
        <f ca="1">Messy_Data!J228</f>
        <v>45595</v>
      </c>
      <c r="F228" s="2">
        <f>Messy_Data!L228</f>
        <v>9598329881</v>
      </c>
      <c r="G228" s="2" t="str">
        <f>Messy_Data!N228</f>
        <v>ankit@company.com</v>
      </c>
      <c r="H228" s="12">
        <f>Messy_Data!O228</f>
        <v>13825</v>
      </c>
      <c r="I228" s="2" t="str">
        <f>Messy_Data!P228</f>
        <v>Below 20K</v>
      </c>
      <c r="J228" s="2"/>
      <c r="K228" s="2"/>
      <c r="L228" s="2"/>
      <c r="M228" s="2"/>
      <c r="N228" s="2"/>
      <c r="O228" s="2" t="str">
        <f>Messy_Data!S228</f>
        <v>M15</v>
      </c>
      <c r="P228" s="2" t="str">
        <f>Messy_Data!U228</f>
        <v>ACTIVE</v>
      </c>
      <c r="Q228" s="2">
        <f ca="1">Messy_Data!V228</f>
        <v>1039</v>
      </c>
      <c r="R228" s="2">
        <f ca="1">Messy_Data!W228</f>
        <v>34</v>
      </c>
      <c r="S228" s="2">
        <f ca="1">Messy_Data!X228</f>
        <v>2</v>
      </c>
      <c r="T228" s="2"/>
      <c r="U228" s="2"/>
      <c r="V228" s="2"/>
      <c r="W228" s="9"/>
      <c r="X228" s="2"/>
      <c r="Y228" s="12"/>
      <c r="Z228" s="12"/>
      <c r="AA228" s="2" t="str">
        <f ca="1">Messy_Data!AA228</f>
        <v>OK</v>
      </c>
    </row>
    <row r="229" spans="1:27" x14ac:dyDescent="0.3">
      <c r="A229" s="2" t="str">
        <f>Messy_Data!B229</f>
        <v>EMP228</v>
      </c>
      <c r="B229" s="2" t="str">
        <f>Messy_Data!D229</f>
        <v>Ravi</v>
      </c>
      <c r="C229" s="2" t="str">
        <f>Messy_Data!F229</f>
        <v>HR</v>
      </c>
      <c r="D229" s="3">
        <f>Messy_Data!H229</f>
        <v>43860</v>
      </c>
      <c r="E229" s="3">
        <f ca="1">Messy_Data!J229</f>
        <v>44293</v>
      </c>
      <c r="F229" s="2">
        <f>Messy_Data!L229</f>
        <v>9227030026</v>
      </c>
      <c r="G229" s="2" t="str">
        <f>Messy_Data!N229</f>
        <v>pooja@company.com</v>
      </c>
      <c r="H229" s="12">
        <f>Messy_Data!O229</f>
        <v>69932</v>
      </c>
      <c r="I229" s="2" t="str">
        <f>Messy_Data!P229</f>
        <v>60K-80K</v>
      </c>
      <c r="J229" s="2"/>
      <c r="K229" s="2"/>
      <c r="L229" s="2"/>
      <c r="M229" s="2"/>
      <c r="N229" s="2"/>
      <c r="O229" s="2" t="str">
        <f>Messy_Data!S229</f>
        <v>M9</v>
      </c>
      <c r="P229" s="2" t="str">
        <f>Messy_Data!U229</f>
        <v>ACTIVE</v>
      </c>
      <c r="Q229" s="2">
        <f ca="1">Messy_Data!V229</f>
        <v>433</v>
      </c>
      <c r="R229" s="2">
        <f ca="1">Messy_Data!W229</f>
        <v>14</v>
      </c>
      <c r="S229" s="2">
        <f ca="1">Messy_Data!X229</f>
        <v>1</v>
      </c>
      <c r="T229" s="2"/>
      <c r="U229" s="2"/>
      <c r="V229" s="2"/>
      <c r="W229" s="9"/>
      <c r="X229" s="2"/>
      <c r="Y229" s="12"/>
      <c r="Z229" s="12"/>
      <c r="AA229" s="2" t="str">
        <f ca="1">Messy_Data!AA229</f>
        <v>OK</v>
      </c>
    </row>
    <row r="230" spans="1:27" x14ac:dyDescent="0.3">
      <c r="A230" s="2" t="str">
        <f>Messy_Data!B230</f>
        <v>EMP229</v>
      </c>
      <c r="B230" s="2" t="str">
        <f>Messy_Data!D230</f>
        <v>Amit</v>
      </c>
      <c r="C230" s="2" t="str">
        <f>Messy_Data!F230</f>
        <v>IT</v>
      </c>
      <c r="D230" s="3">
        <f>Messy_Data!H230</f>
        <v>43588</v>
      </c>
      <c r="E230" s="3">
        <f ca="1">Messy_Data!J230</f>
        <v>44940</v>
      </c>
      <c r="F230" s="2">
        <f>Messy_Data!L230</f>
        <v>9589917534</v>
      </c>
      <c r="G230" s="2" t="str">
        <f>Messy_Data!N230</f>
        <v>vikas@company.com</v>
      </c>
      <c r="H230" s="12">
        <f>Messy_Data!O230</f>
        <v>27922</v>
      </c>
      <c r="I230" s="2" t="str">
        <f>Messy_Data!P230</f>
        <v>20K-40K</v>
      </c>
      <c r="J230" s="2"/>
      <c r="K230" s="2"/>
      <c r="L230" s="2"/>
      <c r="M230" s="2"/>
      <c r="N230" s="2"/>
      <c r="O230" s="2" t="str">
        <f>Messy_Data!S230</f>
        <v>M3</v>
      </c>
      <c r="P230" s="2" t="str">
        <f>Messy_Data!U230</f>
        <v>ACTIVE</v>
      </c>
      <c r="Q230" s="2">
        <f ca="1">Messy_Data!V230</f>
        <v>1352</v>
      </c>
      <c r="R230" s="2">
        <f ca="1">Messy_Data!W230</f>
        <v>44</v>
      </c>
      <c r="S230" s="2">
        <f ca="1">Messy_Data!X230</f>
        <v>3</v>
      </c>
      <c r="T230" s="2"/>
      <c r="U230" s="2"/>
      <c r="V230" s="2"/>
      <c r="W230" s="9"/>
      <c r="X230" s="2"/>
      <c r="Y230" s="12"/>
      <c r="Z230" s="12"/>
      <c r="AA230" s="2" t="str">
        <f ca="1">Messy_Data!AA230</f>
        <v>OK</v>
      </c>
    </row>
    <row r="231" spans="1:27" x14ac:dyDescent="0.3">
      <c r="A231" s="2" t="str">
        <f>Messy_Data!B231</f>
        <v>EMP230</v>
      </c>
      <c r="B231" s="2" t="str">
        <f>Messy_Data!D231</f>
        <v>Pooja</v>
      </c>
      <c r="C231" s="2" t="str">
        <f>Messy_Data!F231</f>
        <v>HR</v>
      </c>
      <c r="D231" s="3">
        <f>Messy_Data!H231</f>
        <v>44359</v>
      </c>
      <c r="E231" s="3">
        <f ca="1">Messy_Data!J231</f>
        <v>45012</v>
      </c>
      <c r="F231" s="2">
        <f>Messy_Data!L231</f>
        <v>9165150691</v>
      </c>
      <c r="G231" s="2" t="str">
        <f>Messy_Data!N231</f>
        <v>pooja@company.com</v>
      </c>
      <c r="H231" s="12">
        <f>Messy_Data!O231</f>
        <v>76040</v>
      </c>
      <c r="I231" s="2" t="str">
        <f>Messy_Data!P231</f>
        <v>60K-80K</v>
      </c>
      <c r="J231" s="2"/>
      <c r="K231" s="2"/>
      <c r="L231" s="2"/>
      <c r="M231" s="2"/>
      <c r="N231" s="2"/>
      <c r="O231" s="2" t="str">
        <f>Messy_Data!S231</f>
        <v>M23</v>
      </c>
      <c r="P231" s="2" t="str">
        <f>Messy_Data!U231</f>
        <v>RESIGNED</v>
      </c>
      <c r="Q231" s="2">
        <f ca="1">Messy_Data!V231</f>
        <v>653</v>
      </c>
      <c r="R231" s="2">
        <f ca="1">Messy_Data!W231</f>
        <v>21</v>
      </c>
      <c r="S231" s="2">
        <f ca="1">Messy_Data!X231</f>
        <v>1</v>
      </c>
      <c r="T231" s="2"/>
      <c r="U231" s="2"/>
      <c r="V231" s="2"/>
      <c r="W231" s="9"/>
      <c r="X231" s="2"/>
      <c r="Y231" s="12"/>
      <c r="Z231" s="12"/>
      <c r="AA231" s="2" t="str">
        <f ca="1">Messy_Data!AA231</f>
        <v>OK</v>
      </c>
    </row>
    <row r="232" spans="1:27" x14ac:dyDescent="0.3">
      <c r="A232" s="2" t="str">
        <f>Messy_Data!B232</f>
        <v>EMP231</v>
      </c>
      <c r="B232" s="2" t="str">
        <f>Messy_Data!D232</f>
        <v>Pooja</v>
      </c>
      <c r="C232" s="2" t="str">
        <f>Messy_Data!F232</f>
        <v>SALES</v>
      </c>
      <c r="D232" s="3">
        <f>Messy_Data!H232</f>
        <v>44818</v>
      </c>
      <c r="E232" s="3">
        <f ca="1">Messy_Data!J232</f>
        <v>46024</v>
      </c>
      <c r="F232" s="2">
        <f>Messy_Data!L232</f>
        <v>9719811303</v>
      </c>
      <c r="G232" s="2" t="str">
        <f>Messy_Data!N232</f>
        <v>suresh@company.com</v>
      </c>
      <c r="H232" s="12">
        <f>Messy_Data!O232</f>
        <v>60791</v>
      </c>
      <c r="I232" s="2" t="str">
        <f>Messy_Data!P232</f>
        <v>60K-80K</v>
      </c>
      <c r="J232" s="2"/>
      <c r="K232" s="2"/>
      <c r="L232" s="2"/>
      <c r="M232" s="2"/>
      <c r="N232" s="2"/>
      <c r="O232" s="2" t="str">
        <f>Messy_Data!S232</f>
        <v>M8</v>
      </c>
      <c r="P232" s="2" t="str">
        <f>Messy_Data!U232</f>
        <v>ACTIVE</v>
      </c>
      <c r="Q232" s="2">
        <f ca="1">Messy_Data!V232</f>
        <v>1206</v>
      </c>
      <c r="R232" s="2">
        <f ca="1">Messy_Data!W232</f>
        <v>39</v>
      </c>
      <c r="S232" s="2">
        <f ca="1">Messy_Data!X232</f>
        <v>3</v>
      </c>
      <c r="T232" s="2"/>
      <c r="U232" s="2"/>
      <c r="V232" s="2"/>
      <c r="W232" s="9"/>
      <c r="X232" s="2"/>
      <c r="Y232" s="12"/>
      <c r="Z232" s="12"/>
      <c r="AA232" s="2" t="str">
        <f ca="1">Messy_Data!AA232</f>
        <v>OK</v>
      </c>
    </row>
    <row r="233" spans="1:27" x14ac:dyDescent="0.3">
      <c r="A233" s="2" t="str">
        <f>Messy_Data!B233</f>
        <v>EMP232</v>
      </c>
      <c r="B233" s="2" t="str">
        <f>Messy_Data!D233</f>
        <v>Kiran</v>
      </c>
      <c r="C233" s="2" t="str">
        <f>Messy_Data!F233</f>
        <v>FINANCE</v>
      </c>
      <c r="D233" s="3">
        <f>Messy_Data!H233</f>
        <v>44199</v>
      </c>
      <c r="E233" s="3">
        <f ca="1">Messy_Data!J233</f>
        <v>44788</v>
      </c>
      <c r="F233" s="2">
        <f>Messy_Data!L233</f>
        <v>9269518242</v>
      </c>
      <c r="G233" s="2" t="str">
        <f>Messy_Data!N233</f>
        <v>sunita@gmail.com</v>
      </c>
      <c r="H233" s="12">
        <f>Messy_Data!O233</f>
        <v>62103</v>
      </c>
      <c r="I233" s="2" t="str">
        <f>Messy_Data!P233</f>
        <v>60K-80K</v>
      </c>
      <c r="J233" s="2"/>
      <c r="K233" s="2"/>
      <c r="L233" s="2"/>
      <c r="M233" s="2"/>
      <c r="N233" s="2"/>
      <c r="O233" s="2" t="str">
        <f>Messy_Data!S233</f>
        <v>M24</v>
      </c>
      <c r="P233" s="2" t="str">
        <f>Messy_Data!U233</f>
        <v>ON HOLD</v>
      </c>
      <c r="Q233" s="2">
        <f ca="1">Messy_Data!V233</f>
        <v>589</v>
      </c>
      <c r="R233" s="2">
        <f ca="1">Messy_Data!W233</f>
        <v>19</v>
      </c>
      <c r="S233" s="2">
        <f ca="1">Messy_Data!X233</f>
        <v>1</v>
      </c>
      <c r="T233" s="2"/>
      <c r="U233" s="2"/>
      <c r="V233" s="2"/>
      <c r="W233" s="9"/>
      <c r="X233" s="2"/>
      <c r="Y233" s="12"/>
      <c r="Z233" s="12"/>
      <c r="AA233" s="2" t="str">
        <f ca="1">Messy_Data!AA233</f>
        <v>OK</v>
      </c>
    </row>
    <row r="234" spans="1:27" x14ac:dyDescent="0.3">
      <c r="A234" s="2" t="str">
        <f>Messy_Data!B234</f>
        <v>EMP233</v>
      </c>
      <c r="B234" s="2" t="str">
        <f>Messy_Data!D234</f>
        <v>Rahul</v>
      </c>
      <c r="C234" s="2" t="str">
        <f>Messy_Data!F234</f>
        <v>HR</v>
      </c>
      <c r="D234" s="3">
        <f>Messy_Data!H234</f>
        <v>45043</v>
      </c>
      <c r="E234" s="3">
        <f ca="1">Messy_Data!J234</f>
        <v>45148</v>
      </c>
      <c r="F234" s="2">
        <f>Messy_Data!L234</f>
        <v>9262628460</v>
      </c>
      <c r="G234" s="2" t="str">
        <f>Messy_Data!N234</f>
        <v>kiran@company.com</v>
      </c>
      <c r="H234" s="12">
        <f>Messy_Data!O234</f>
        <v>71437</v>
      </c>
      <c r="I234" s="2" t="str">
        <f>Messy_Data!P234</f>
        <v>60K-80K</v>
      </c>
      <c r="J234" s="2"/>
      <c r="K234" s="2"/>
      <c r="L234" s="2"/>
      <c r="M234" s="2"/>
      <c r="N234" s="2"/>
      <c r="O234" s="2" t="str">
        <f>Messy_Data!S234</f>
        <v>M15</v>
      </c>
      <c r="P234" s="2" t="str">
        <f>Messy_Data!U234</f>
        <v>RESIGNED</v>
      </c>
      <c r="Q234" s="2">
        <f ca="1">Messy_Data!V234</f>
        <v>105</v>
      </c>
      <c r="R234" s="2">
        <f ca="1">Messy_Data!W234</f>
        <v>3</v>
      </c>
      <c r="S234" s="2">
        <f ca="1">Messy_Data!X234</f>
        <v>0</v>
      </c>
      <c r="T234" s="2"/>
      <c r="U234" s="2"/>
      <c r="V234" s="2"/>
      <c r="W234" s="9"/>
      <c r="X234" s="2"/>
      <c r="Y234" s="12"/>
      <c r="Z234" s="12"/>
      <c r="AA234" s="2" t="str">
        <f ca="1">Messy_Data!AA234</f>
        <v>OK</v>
      </c>
    </row>
    <row r="235" spans="1:27" x14ac:dyDescent="0.3">
      <c r="A235" s="2" t="str">
        <f>Messy_Data!B235</f>
        <v>EMP234</v>
      </c>
      <c r="B235" s="2" t="str">
        <f>Messy_Data!D235</f>
        <v>Kiran</v>
      </c>
      <c r="C235" s="2" t="str">
        <f>Messy_Data!F235</f>
        <v>SALES</v>
      </c>
      <c r="D235" s="3">
        <f>Messy_Data!H235</f>
        <v>45014</v>
      </c>
      <c r="E235" s="3">
        <f ca="1">Messy_Data!J235</f>
        <v>45487</v>
      </c>
      <c r="F235" s="2">
        <f>Messy_Data!L235</f>
        <v>9919428717</v>
      </c>
      <c r="G235" s="2" t="str">
        <f>Messy_Data!N235</f>
        <v>amit@company.com</v>
      </c>
      <c r="H235" s="12">
        <f>Messy_Data!O235</f>
        <v>35824</v>
      </c>
      <c r="I235" s="2" t="str">
        <f>Messy_Data!P235</f>
        <v>20K-40K</v>
      </c>
      <c r="J235" s="2"/>
      <c r="K235" s="2"/>
      <c r="L235" s="2"/>
      <c r="M235" s="2"/>
      <c r="N235" s="2"/>
      <c r="O235" s="2" t="str">
        <f>Messy_Data!S235</f>
        <v>M1</v>
      </c>
      <c r="P235" s="2" t="str">
        <f>Messy_Data!U235</f>
        <v>RESIGNED</v>
      </c>
      <c r="Q235" s="2">
        <f ca="1">Messy_Data!V235</f>
        <v>473</v>
      </c>
      <c r="R235" s="2">
        <f ca="1">Messy_Data!W235</f>
        <v>15</v>
      </c>
      <c r="S235" s="2">
        <f ca="1">Messy_Data!X235</f>
        <v>1</v>
      </c>
      <c r="T235" s="2"/>
      <c r="U235" s="2"/>
      <c r="V235" s="2"/>
      <c r="W235" s="9"/>
      <c r="X235" s="2"/>
      <c r="Y235" s="12"/>
      <c r="Z235" s="12"/>
      <c r="AA235" s="2" t="str">
        <f ca="1">Messy_Data!AA235</f>
        <v>OK</v>
      </c>
    </row>
    <row r="236" spans="1:27" x14ac:dyDescent="0.3">
      <c r="A236" s="2" t="str">
        <f>Messy_Data!B236</f>
        <v>EMP235</v>
      </c>
      <c r="B236" s="2" t="str">
        <f>Messy_Data!D236</f>
        <v>Kiran</v>
      </c>
      <c r="C236" s="2" t="str">
        <f>Messy_Data!F236</f>
        <v>IT</v>
      </c>
      <c r="D236" s="3">
        <f>Messy_Data!H236</f>
        <v>43863</v>
      </c>
      <c r="E236" s="3">
        <f ca="1">Messy_Data!J236</f>
        <v>44217</v>
      </c>
      <c r="F236" s="2">
        <f>Messy_Data!L236</f>
        <v>9575850438</v>
      </c>
      <c r="G236" s="2" t="str">
        <f>Messy_Data!N236</f>
        <v>sunita@company.com</v>
      </c>
      <c r="H236" s="12">
        <f>Messy_Data!O236</f>
        <v>69067</v>
      </c>
      <c r="I236" s="2" t="str">
        <f>Messy_Data!P236</f>
        <v>60K-80K</v>
      </c>
      <c r="J236" s="2"/>
      <c r="K236" s="2"/>
      <c r="L236" s="2"/>
      <c r="M236" s="2"/>
      <c r="N236" s="2"/>
      <c r="O236" s="2" t="str">
        <f>Messy_Data!S236</f>
        <v>M9</v>
      </c>
      <c r="P236" s="2" t="str">
        <f>Messy_Data!U236</f>
        <v>ACTIVE</v>
      </c>
      <c r="Q236" s="2">
        <f ca="1">Messy_Data!V236</f>
        <v>354</v>
      </c>
      <c r="R236" s="2">
        <f ca="1">Messy_Data!W236</f>
        <v>11</v>
      </c>
      <c r="S236" s="2">
        <f ca="1">Messy_Data!X236</f>
        <v>0</v>
      </c>
      <c r="T236" s="2"/>
      <c r="U236" s="2"/>
      <c r="V236" s="2"/>
      <c r="W236" s="9"/>
      <c r="X236" s="2"/>
      <c r="Y236" s="12"/>
      <c r="Z236" s="12"/>
      <c r="AA236" s="2" t="str">
        <f ca="1">Messy_Data!AA236</f>
        <v>OK</v>
      </c>
    </row>
    <row r="237" spans="1:27" x14ac:dyDescent="0.3">
      <c r="A237" s="2" t="str">
        <f>Messy_Data!B237</f>
        <v>EMP236</v>
      </c>
      <c r="B237" s="2" t="str">
        <f>Messy_Data!D237</f>
        <v>Neha</v>
      </c>
      <c r="C237" s="2" t="str">
        <f>Messy_Data!F237</f>
        <v>IT</v>
      </c>
      <c r="D237" s="3">
        <f>Messy_Data!H237</f>
        <v>43477</v>
      </c>
      <c r="E237" s="3">
        <f ca="1">Messy_Data!J237</f>
        <v>44512</v>
      </c>
      <c r="F237" s="2">
        <f>Messy_Data!L237</f>
        <v>9529260603</v>
      </c>
      <c r="G237" s="2" t="str">
        <f>Messy_Data!N237</f>
        <v>neha@company.com</v>
      </c>
      <c r="H237" s="12">
        <f>Messy_Data!O237</f>
        <v>79305</v>
      </c>
      <c r="I237" s="2" t="str">
        <f>Messy_Data!P237</f>
        <v>60K-80K</v>
      </c>
      <c r="J237" s="2"/>
      <c r="K237" s="2"/>
      <c r="L237" s="2"/>
      <c r="M237" s="2"/>
      <c r="N237" s="2"/>
      <c r="O237" s="2" t="str">
        <f>Messy_Data!S237</f>
        <v>M1</v>
      </c>
      <c r="P237" s="2" t="str">
        <f>Messy_Data!U237</f>
        <v>RESIGNED</v>
      </c>
      <c r="Q237" s="2">
        <f ca="1">Messy_Data!V237</f>
        <v>1035</v>
      </c>
      <c r="R237" s="2">
        <f ca="1">Messy_Data!W237</f>
        <v>34</v>
      </c>
      <c r="S237" s="2">
        <f ca="1">Messy_Data!X237</f>
        <v>2</v>
      </c>
      <c r="T237" s="2"/>
      <c r="U237" s="2"/>
      <c r="V237" s="2"/>
      <c r="W237" s="9"/>
      <c r="X237" s="2"/>
      <c r="Y237" s="12"/>
      <c r="Z237" s="12"/>
      <c r="AA237" s="2" t="str">
        <f ca="1">Messy_Data!AA237</f>
        <v>OK</v>
      </c>
    </row>
    <row r="238" spans="1:27" x14ac:dyDescent="0.3">
      <c r="A238" s="2" t="str">
        <f>Messy_Data!B238</f>
        <v>EMP237</v>
      </c>
      <c r="B238" s="2" t="str">
        <f>Messy_Data!D238</f>
        <v>Amit</v>
      </c>
      <c r="C238" s="2" t="str">
        <f>Messy_Data!F238</f>
        <v>FINANCE</v>
      </c>
      <c r="D238" s="3">
        <f>Messy_Data!H238</f>
        <v>43501</v>
      </c>
      <c r="E238" s="3">
        <f ca="1">Messy_Data!J238</f>
        <v>44288</v>
      </c>
      <c r="F238" s="2">
        <f>Messy_Data!L238</f>
        <v>9946995714</v>
      </c>
      <c r="G238" s="2" t="str">
        <f>Messy_Data!N238</f>
        <v>rahul@company.com</v>
      </c>
      <c r="H238" s="12">
        <f>Messy_Data!O238</f>
        <v>46302</v>
      </c>
      <c r="I238" s="2" t="str">
        <f>Messy_Data!P238</f>
        <v>40K-60K</v>
      </c>
      <c r="J238" s="2"/>
      <c r="K238" s="2"/>
      <c r="L238" s="2"/>
      <c r="M238" s="2"/>
      <c r="N238" s="2"/>
      <c r="O238" s="2" t="str">
        <f>Messy_Data!S238</f>
        <v>M13</v>
      </c>
      <c r="P238" s="2" t="str">
        <f>Messy_Data!U238</f>
        <v>ACTIVE</v>
      </c>
      <c r="Q238" s="2">
        <f ca="1">Messy_Data!V238</f>
        <v>787</v>
      </c>
      <c r="R238" s="2">
        <f ca="1">Messy_Data!W238</f>
        <v>25</v>
      </c>
      <c r="S238" s="2">
        <f ca="1">Messy_Data!X238</f>
        <v>2</v>
      </c>
      <c r="T238" s="2"/>
      <c r="U238" s="2"/>
      <c r="V238" s="2"/>
      <c r="W238" s="9"/>
      <c r="X238" s="2"/>
      <c r="Y238" s="12"/>
      <c r="Z238" s="12"/>
      <c r="AA238" s="2" t="str">
        <f ca="1">Messy_Data!AA238</f>
        <v>OK</v>
      </c>
    </row>
    <row r="239" spans="1:27" x14ac:dyDescent="0.3">
      <c r="A239" s="2" t="str">
        <f>Messy_Data!B239</f>
        <v>EMP238</v>
      </c>
      <c r="B239" s="2" t="str">
        <f>Messy_Data!D239</f>
        <v>Pooja</v>
      </c>
      <c r="C239" s="2" t="str">
        <f>Messy_Data!F239</f>
        <v>IT</v>
      </c>
      <c r="D239" s="3">
        <f>Messy_Data!H239</f>
        <v>45104</v>
      </c>
      <c r="E239" s="3">
        <f ca="1">Messy_Data!J239</f>
        <v>46024</v>
      </c>
      <c r="F239" s="2">
        <f>Messy_Data!L239</f>
        <v>9980313593</v>
      </c>
      <c r="G239" s="2" t="str">
        <f>Messy_Data!N239</f>
        <v>suresh@company.com</v>
      </c>
      <c r="H239" s="12">
        <f>Messy_Data!O239</f>
        <v>21764</v>
      </c>
      <c r="I239" s="2" t="str">
        <f>Messy_Data!P239</f>
        <v>20K-40K</v>
      </c>
      <c r="J239" s="2"/>
      <c r="K239" s="2"/>
      <c r="L239" s="2"/>
      <c r="M239" s="2"/>
      <c r="N239" s="2"/>
      <c r="O239" s="2" t="str">
        <f>Messy_Data!S239</f>
        <v>M10</v>
      </c>
      <c r="P239" s="2" t="str">
        <f>Messy_Data!U239</f>
        <v>RESIGNED</v>
      </c>
      <c r="Q239" s="2">
        <f ca="1">Messy_Data!V239</f>
        <v>920</v>
      </c>
      <c r="R239" s="2">
        <f ca="1">Messy_Data!W239</f>
        <v>30</v>
      </c>
      <c r="S239" s="2">
        <f ca="1">Messy_Data!X239</f>
        <v>2</v>
      </c>
      <c r="T239" s="2"/>
      <c r="U239" s="2"/>
      <c r="V239" s="2"/>
      <c r="W239" s="9"/>
      <c r="X239" s="2"/>
      <c r="Y239" s="12"/>
      <c r="Z239" s="12"/>
      <c r="AA239" s="2" t="str">
        <f ca="1">Messy_Data!AA239</f>
        <v>OK</v>
      </c>
    </row>
    <row r="240" spans="1:27" x14ac:dyDescent="0.3">
      <c r="A240" s="2" t="str">
        <f>Messy_Data!B240</f>
        <v>EMP239</v>
      </c>
      <c r="B240" s="2" t="str">
        <f>Messy_Data!D240</f>
        <v>Neha</v>
      </c>
      <c r="C240" s="2" t="str">
        <f>Messy_Data!F240</f>
        <v>SALES</v>
      </c>
      <c r="D240" s="3">
        <f>Messy_Data!H240</f>
        <v>43624</v>
      </c>
      <c r="E240" s="3">
        <f ca="1">Messy_Data!J240</f>
        <v>45005</v>
      </c>
      <c r="F240" s="2">
        <f>Messy_Data!L240</f>
        <v>9967016203</v>
      </c>
      <c r="G240" s="2" t="str">
        <f>Messy_Data!N240</f>
        <v>amit@company.com</v>
      </c>
      <c r="H240" s="12">
        <f>Messy_Data!O240</f>
        <v>71971</v>
      </c>
      <c r="I240" s="2" t="str">
        <f>Messy_Data!P240</f>
        <v>60K-80K</v>
      </c>
      <c r="J240" s="2"/>
      <c r="K240" s="2"/>
      <c r="L240" s="2"/>
      <c r="M240" s="2"/>
      <c r="N240" s="2"/>
      <c r="O240" s="2" t="str">
        <f>Messy_Data!S240</f>
        <v>M1</v>
      </c>
      <c r="P240" s="2" t="str">
        <f>Messy_Data!U240</f>
        <v>RESIGNED</v>
      </c>
      <c r="Q240" s="2">
        <f ca="1">Messy_Data!V240</f>
        <v>1381</v>
      </c>
      <c r="R240" s="2">
        <f ca="1">Messy_Data!W240</f>
        <v>45</v>
      </c>
      <c r="S240" s="2">
        <f ca="1">Messy_Data!X240</f>
        <v>3</v>
      </c>
      <c r="T240" s="2"/>
      <c r="U240" s="2"/>
      <c r="V240" s="2"/>
      <c r="W240" s="9"/>
      <c r="X240" s="2"/>
      <c r="Y240" s="12"/>
      <c r="Z240" s="12"/>
      <c r="AA240" s="2" t="str">
        <f ca="1">Messy_Data!AA240</f>
        <v>OK</v>
      </c>
    </row>
    <row r="241" spans="1:27" x14ac:dyDescent="0.3">
      <c r="A241" s="2" t="str">
        <f>Messy_Data!B241</f>
        <v>EMP240</v>
      </c>
      <c r="B241" s="2" t="str">
        <f>Messy_Data!D241</f>
        <v>Ravi</v>
      </c>
      <c r="C241" s="2" t="str">
        <f>Messy_Data!F241</f>
        <v>HR</v>
      </c>
      <c r="D241" s="3">
        <f>Messy_Data!H241</f>
        <v>43509</v>
      </c>
      <c r="E241" s="3">
        <f ca="1">Messy_Data!J241</f>
        <v>44666</v>
      </c>
      <c r="F241" s="2">
        <f>Messy_Data!L241</f>
        <v>9235530722</v>
      </c>
      <c r="G241" s="2" t="str">
        <f>Messy_Data!N241</f>
        <v>amit@gmail.com</v>
      </c>
      <c r="H241" s="12">
        <f>Messy_Data!O241</f>
        <v>19830</v>
      </c>
      <c r="I241" s="2" t="str">
        <f>Messy_Data!P241</f>
        <v>Below 20K</v>
      </c>
      <c r="J241" s="2"/>
      <c r="K241" s="2"/>
      <c r="L241" s="2"/>
      <c r="M241" s="2"/>
      <c r="N241" s="2"/>
      <c r="O241" s="2" t="str">
        <f>Messy_Data!S241</f>
        <v>M22</v>
      </c>
      <c r="P241" s="2" t="str">
        <f>Messy_Data!U241</f>
        <v>ON HOLD</v>
      </c>
      <c r="Q241" s="2">
        <f ca="1">Messy_Data!V241</f>
        <v>1157</v>
      </c>
      <c r="R241" s="2">
        <f ca="1">Messy_Data!W241</f>
        <v>38</v>
      </c>
      <c r="S241" s="2">
        <f ca="1">Messy_Data!X241</f>
        <v>3</v>
      </c>
      <c r="T241" s="2"/>
      <c r="U241" s="2"/>
      <c r="V241" s="2"/>
      <c r="W241" s="9"/>
      <c r="X241" s="2"/>
      <c r="Y241" s="12"/>
      <c r="Z241" s="12"/>
      <c r="AA241" s="2" t="str">
        <f ca="1">Messy_Data!AA241</f>
        <v>OK</v>
      </c>
    </row>
    <row r="242" spans="1:27" x14ac:dyDescent="0.3">
      <c r="A242" s="2" t="str">
        <f>Messy_Data!B242</f>
        <v>EMP241</v>
      </c>
      <c r="B242" s="2" t="str">
        <f>Messy_Data!D242</f>
        <v>Ankit</v>
      </c>
      <c r="C242" s="2" t="str">
        <f>Messy_Data!F242</f>
        <v>FINANCE</v>
      </c>
      <c r="D242" s="3">
        <f>Messy_Data!H242</f>
        <v>43987</v>
      </c>
      <c r="E242" s="3">
        <f ca="1">Messy_Data!J242</f>
        <v>45119</v>
      </c>
      <c r="F242" s="2">
        <f>Messy_Data!L242</f>
        <v>9625628662</v>
      </c>
      <c r="G242" s="2" t="str">
        <f>Messy_Data!N242</f>
        <v>ravi@company.com</v>
      </c>
      <c r="H242" s="12">
        <f>Messy_Data!O242</f>
        <v>56827</v>
      </c>
      <c r="I242" s="2" t="str">
        <f>Messy_Data!P242</f>
        <v>40K-60K</v>
      </c>
      <c r="J242" s="2"/>
      <c r="K242" s="2"/>
      <c r="L242" s="2"/>
      <c r="M242" s="2"/>
      <c r="N242" s="2"/>
      <c r="O242" s="2" t="str">
        <f>Messy_Data!S242</f>
        <v>M1</v>
      </c>
      <c r="P242" s="2" t="str">
        <f>Messy_Data!U242</f>
        <v>ACTIVE</v>
      </c>
      <c r="Q242" s="2">
        <f ca="1">Messy_Data!V242</f>
        <v>1132</v>
      </c>
      <c r="R242" s="2">
        <f ca="1">Messy_Data!W242</f>
        <v>37</v>
      </c>
      <c r="S242" s="2">
        <f ca="1">Messy_Data!X242</f>
        <v>3</v>
      </c>
      <c r="T242" s="2"/>
      <c r="U242" s="2"/>
      <c r="V242" s="2"/>
      <c r="W242" s="9"/>
      <c r="X242" s="2"/>
      <c r="Y242" s="12"/>
      <c r="Z242" s="12"/>
      <c r="AA242" s="2" t="str">
        <f ca="1">Messy_Data!AA242</f>
        <v>OK</v>
      </c>
    </row>
    <row r="243" spans="1:27" x14ac:dyDescent="0.3">
      <c r="A243" s="2" t="str">
        <f>Messy_Data!B243</f>
        <v>EMP242</v>
      </c>
      <c r="B243" s="2" t="str">
        <f>Messy_Data!D243</f>
        <v>Rahul</v>
      </c>
      <c r="C243" s="2" t="str">
        <f>Messy_Data!F243</f>
        <v>SALES</v>
      </c>
      <c r="D243" s="3">
        <f>Messy_Data!H243</f>
        <v>43577</v>
      </c>
      <c r="E243" s="3">
        <f ca="1">Messy_Data!J243</f>
        <v>43726</v>
      </c>
      <c r="F243" s="2">
        <f>Messy_Data!L243</f>
        <v>9461669182</v>
      </c>
      <c r="G243" s="2" t="str">
        <f>Messy_Data!N243</f>
        <v>amit@company.com</v>
      </c>
      <c r="H243" s="12">
        <f>Messy_Data!O243</f>
        <v>37773</v>
      </c>
      <c r="I243" s="2" t="str">
        <f>Messy_Data!P243</f>
        <v>20K-40K</v>
      </c>
      <c r="J243" s="2"/>
      <c r="K243" s="2"/>
      <c r="L243" s="2"/>
      <c r="M243" s="2"/>
      <c r="N243" s="2"/>
      <c r="O243" s="2" t="str">
        <f>Messy_Data!S243</f>
        <v>M25</v>
      </c>
      <c r="P243" s="2" t="str">
        <f>Messy_Data!U243</f>
        <v>RESIGNED</v>
      </c>
      <c r="Q243" s="2">
        <f ca="1">Messy_Data!V243</f>
        <v>149</v>
      </c>
      <c r="R243" s="2">
        <f ca="1">Messy_Data!W243</f>
        <v>4</v>
      </c>
      <c r="S243" s="2">
        <f ca="1">Messy_Data!X243</f>
        <v>0</v>
      </c>
      <c r="T243" s="2"/>
      <c r="U243" s="2"/>
      <c r="V243" s="2"/>
      <c r="W243" s="9"/>
      <c r="X243" s="2"/>
      <c r="Y243" s="12"/>
      <c r="Z243" s="12"/>
      <c r="AA243" s="2" t="str">
        <f ca="1">Messy_Data!AA243</f>
        <v>OK</v>
      </c>
    </row>
    <row r="244" spans="1:27" x14ac:dyDescent="0.3">
      <c r="A244" s="2" t="str">
        <f>Messy_Data!B244</f>
        <v>EMP243</v>
      </c>
      <c r="B244" s="2" t="str">
        <f>Messy_Data!D244</f>
        <v>Suresh</v>
      </c>
      <c r="C244" s="2" t="str">
        <f>Messy_Data!F244</f>
        <v>SALES</v>
      </c>
      <c r="D244" s="3">
        <f>Messy_Data!H244</f>
        <v>45174</v>
      </c>
      <c r="E244" s="3">
        <f ca="1">Messy_Data!J244</f>
        <v>46066</v>
      </c>
      <c r="F244" s="2">
        <f>Messy_Data!L244</f>
        <v>9333268991</v>
      </c>
      <c r="G244" s="2" t="str">
        <f>Messy_Data!N244</f>
        <v>pooja@company.com</v>
      </c>
      <c r="H244" s="12">
        <f>Messy_Data!O244</f>
        <v>84591</v>
      </c>
      <c r="I244" s="2" t="str">
        <f>Messy_Data!P244</f>
        <v>Above 80K</v>
      </c>
      <c r="J244" s="2"/>
      <c r="K244" s="2"/>
      <c r="L244" s="2"/>
      <c r="M244" s="2"/>
      <c r="N244" s="2"/>
      <c r="O244" s="2" t="str">
        <f>Messy_Data!S244</f>
        <v>M8</v>
      </c>
      <c r="P244" s="2" t="str">
        <f>Messy_Data!U244</f>
        <v>RESIGNED</v>
      </c>
      <c r="Q244" s="2">
        <f ca="1">Messy_Data!V244</f>
        <v>892</v>
      </c>
      <c r="R244" s="2">
        <f ca="1">Messy_Data!W244</f>
        <v>29</v>
      </c>
      <c r="S244" s="2">
        <f ca="1">Messy_Data!X244</f>
        <v>2</v>
      </c>
      <c r="T244" s="2"/>
      <c r="U244" s="2"/>
      <c r="V244" s="2"/>
      <c r="W244" s="9"/>
      <c r="X244" s="2"/>
      <c r="Y244" s="12"/>
      <c r="Z244" s="12"/>
      <c r="AA244" s="2" t="str">
        <f ca="1">Messy_Data!AA244</f>
        <v>OK</v>
      </c>
    </row>
    <row r="245" spans="1:27" x14ac:dyDescent="0.3">
      <c r="A245" s="2" t="str">
        <f>Messy_Data!B245</f>
        <v>EMP244</v>
      </c>
      <c r="B245" s="2" t="str">
        <f>Messy_Data!D245</f>
        <v>Amit</v>
      </c>
      <c r="C245" s="2" t="str">
        <f>Messy_Data!F245</f>
        <v>FINANCE</v>
      </c>
      <c r="D245" s="3">
        <f>Messy_Data!H245</f>
        <v>45056</v>
      </c>
      <c r="E245" s="3">
        <f ca="1">Messy_Data!J245</f>
        <v>46344</v>
      </c>
      <c r="F245" s="2">
        <f>Messy_Data!L245</f>
        <v>9772750823</v>
      </c>
      <c r="G245" s="2" t="str">
        <f>Messy_Data!N245</f>
        <v>sunita@company.com</v>
      </c>
      <c r="H245" s="12">
        <f>Messy_Data!O245</f>
        <v>46770</v>
      </c>
      <c r="I245" s="2" t="str">
        <f>Messy_Data!P245</f>
        <v>40K-60K</v>
      </c>
      <c r="J245" s="2"/>
      <c r="K245" s="2"/>
      <c r="L245" s="2"/>
      <c r="M245" s="2"/>
      <c r="N245" s="2"/>
      <c r="O245" s="2" t="str">
        <f>Messy_Data!S245</f>
        <v>M25</v>
      </c>
      <c r="P245" s="2" t="str">
        <f>Messy_Data!U245</f>
        <v>ON HOLD</v>
      </c>
      <c r="Q245" s="2">
        <f ca="1">Messy_Data!V245</f>
        <v>1288</v>
      </c>
      <c r="R245" s="2">
        <f ca="1">Messy_Data!W245</f>
        <v>42</v>
      </c>
      <c r="S245" s="2">
        <f ca="1">Messy_Data!X245</f>
        <v>3</v>
      </c>
      <c r="T245" s="2"/>
      <c r="U245" s="2"/>
      <c r="V245" s="2"/>
      <c r="W245" s="9"/>
      <c r="X245" s="2"/>
      <c r="Y245" s="12"/>
      <c r="Z245" s="12"/>
      <c r="AA245" s="2" t="str">
        <f ca="1">Messy_Data!AA245</f>
        <v>OK</v>
      </c>
    </row>
    <row r="246" spans="1:27" x14ac:dyDescent="0.3">
      <c r="A246" s="2" t="str">
        <f>Messy_Data!B246</f>
        <v>EMP245</v>
      </c>
      <c r="B246" s="2" t="str">
        <f>Messy_Data!D246</f>
        <v>Ravi</v>
      </c>
      <c r="C246" s="2" t="str">
        <f>Messy_Data!F246</f>
        <v>FINANCE</v>
      </c>
      <c r="D246" s="3">
        <f>Messy_Data!H246</f>
        <v>44990</v>
      </c>
      <c r="E246" s="3">
        <f ca="1">Messy_Data!J246</f>
        <v>46024</v>
      </c>
      <c r="F246" s="2">
        <f>Messy_Data!L246</f>
        <v>9741945386</v>
      </c>
      <c r="G246" s="2" t="str">
        <f>Messy_Data!N246</f>
        <v>rahul@company.com</v>
      </c>
      <c r="H246" s="12">
        <f>Messy_Data!O246</f>
        <v>93059</v>
      </c>
      <c r="I246" s="2" t="str">
        <f>Messy_Data!P246</f>
        <v>Above 80K</v>
      </c>
      <c r="J246" s="2"/>
      <c r="K246" s="2"/>
      <c r="L246" s="2"/>
      <c r="M246" s="2"/>
      <c r="N246" s="2"/>
      <c r="O246" s="2" t="str">
        <f>Messy_Data!S246</f>
        <v>M6</v>
      </c>
      <c r="P246" s="2" t="str">
        <f>Messy_Data!U246</f>
        <v>ACTIVE</v>
      </c>
      <c r="Q246" s="2">
        <f ca="1">Messy_Data!V246</f>
        <v>1034</v>
      </c>
      <c r="R246" s="2">
        <f ca="1">Messy_Data!W246</f>
        <v>33</v>
      </c>
      <c r="S246" s="2">
        <f ca="1">Messy_Data!X246</f>
        <v>2</v>
      </c>
      <c r="T246" s="2"/>
      <c r="U246" s="2"/>
      <c r="V246" s="2"/>
      <c r="W246" s="9"/>
      <c r="X246" s="2"/>
      <c r="Y246" s="12"/>
      <c r="Z246" s="12"/>
      <c r="AA246" s="2" t="str">
        <f ca="1">Messy_Data!AA246</f>
        <v>OK</v>
      </c>
    </row>
    <row r="247" spans="1:27" x14ac:dyDescent="0.3">
      <c r="A247" s="2" t="str">
        <f>Messy_Data!B247</f>
        <v>EMP246</v>
      </c>
      <c r="B247" s="2" t="str">
        <f>Messy_Data!D247</f>
        <v>Suresh</v>
      </c>
      <c r="C247" s="2" t="str">
        <f>Messy_Data!F247</f>
        <v>FINANCE</v>
      </c>
      <c r="D247" s="3">
        <f>Messy_Data!H247</f>
        <v>44118</v>
      </c>
      <c r="E247" s="3">
        <f ca="1">Messy_Data!J247</f>
        <v>44370</v>
      </c>
      <c r="F247" s="2">
        <f>Messy_Data!L247</f>
        <v>9127901956</v>
      </c>
      <c r="G247" s="2" t="str">
        <f>Messy_Data!N247</f>
        <v>ravi@company.com</v>
      </c>
      <c r="H247" s="12">
        <f>Messy_Data!O247</f>
        <v>85725</v>
      </c>
      <c r="I247" s="2" t="str">
        <f>Messy_Data!P247</f>
        <v>Above 80K</v>
      </c>
      <c r="J247" s="2"/>
      <c r="K247" s="2"/>
      <c r="L247" s="2"/>
      <c r="M247" s="2"/>
      <c r="N247" s="2"/>
      <c r="O247" s="2" t="str">
        <f>Messy_Data!S247</f>
        <v>M13</v>
      </c>
      <c r="P247" s="2" t="str">
        <f>Messy_Data!U247</f>
        <v>ACTIVE</v>
      </c>
      <c r="Q247" s="2">
        <f ca="1">Messy_Data!V247</f>
        <v>252</v>
      </c>
      <c r="R247" s="2">
        <f ca="1">Messy_Data!W247</f>
        <v>8</v>
      </c>
      <c r="S247" s="2">
        <f ca="1">Messy_Data!X247</f>
        <v>0</v>
      </c>
      <c r="T247" s="2"/>
      <c r="U247" s="2"/>
      <c r="V247" s="2"/>
      <c r="W247" s="9"/>
      <c r="X247" s="2"/>
      <c r="Y247" s="12"/>
      <c r="Z247" s="12"/>
      <c r="AA247" s="2" t="str">
        <f ca="1">Messy_Data!AA247</f>
        <v>CHECK</v>
      </c>
    </row>
    <row r="248" spans="1:27" x14ac:dyDescent="0.3">
      <c r="A248" s="2" t="str">
        <f>Messy_Data!B248</f>
        <v>EMP247</v>
      </c>
      <c r="B248" s="2" t="str">
        <f>Messy_Data!D248</f>
        <v>Ankit</v>
      </c>
      <c r="C248" s="2" t="str">
        <f>Messy_Data!F248</f>
        <v>HR</v>
      </c>
      <c r="D248" s="3">
        <f>Messy_Data!H248</f>
        <v>43552</v>
      </c>
      <c r="E248" s="3">
        <f ca="1">Messy_Data!J248</f>
        <v>44898</v>
      </c>
      <c r="F248" s="2">
        <f>Messy_Data!L248</f>
        <v>9276954601</v>
      </c>
      <c r="G248" s="2" t="str">
        <f>Messy_Data!N248</f>
        <v>kiran@company.com</v>
      </c>
      <c r="H248" s="12">
        <f>Messy_Data!O248</f>
        <v>23158</v>
      </c>
      <c r="I248" s="2" t="str">
        <f>Messy_Data!P248</f>
        <v>20K-40K</v>
      </c>
      <c r="J248" s="2"/>
      <c r="K248" s="2"/>
      <c r="L248" s="2"/>
      <c r="M248" s="2"/>
      <c r="N248" s="2"/>
      <c r="O248" s="2" t="str">
        <f>Messy_Data!S248</f>
        <v>M2</v>
      </c>
      <c r="P248" s="2" t="str">
        <f>Messy_Data!U248</f>
        <v>RESIGNED</v>
      </c>
      <c r="Q248" s="2">
        <f ca="1">Messy_Data!V248</f>
        <v>1346</v>
      </c>
      <c r="R248" s="2">
        <f ca="1">Messy_Data!W248</f>
        <v>44</v>
      </c>
      <c r="S248" s="2">
        <f ca="1">Messy_Data!X248</f>
        <v>3</v>
      </c>
      <c r="T248" s="2"/>
      <c r="U248" s="2"/>
      <c r="V248" s="2"/>
      <c r="W248" s="9"/>
      <c r="X248" s="2"/>
      <c r="Y248" s="12"/>
      <c r="Z248" s="12"/>
      <c r="AA248" s="2" t="str">
        <f ca="1">Messy_Data!AA248</f>
        <v>OK</v>
      </c>
    </row>
    <row r="249" spans="1:27" x14ac:dyDescent="0.3">
      <c r="A249" s="2" t="str">
        <f>Messy_Data!B249</f>
        <v>EMP248</v>
      </c>
      <c r="B249" s="2" t="str">
        <f>Messy_Data!D249</f>
        <v>Suresh</v>
      </c>
      <c r="C249" s="2" t="str">
        <f>Messy_Data!F249</f>
        <v>IT</v>
      </c>
      <c r="D249" s="3">
        <f>Messy_Data!H249</f>
        <v>43686</v>
      </c>
      <c r="E249" s="3">
        <f ca="1">Messy_Data!J249</f>
        <v>45183</v>
      </c>
      <c r="F249" s="2">
        <f>Messy_Data!L249</f>
        <v>9345759044</v>
      </c>
      <c r="G249" s="2" t="str">
        <f>Messy_Data!N249</f>
        <v>amit@gmail.com</v>
      </c>
      <c r="H249" s="12">
        <f>Messy_Data!O249</f>
        <v>86179</v>
      </c>
      <c r="I249" s="2" t="str">
        <f>Messy_Data!P249</f>
        <v>Above 80K</v>
      </c>
      <c r="J249" s="2"/>
      <c r="K249" s="2"/>
      <c r="L249" s="2"/>
      <c r="M249" s="2"/>
      <c r="N249" s="2"/>
      <c r="O249" s="2" t="str">
        <f>Messy_Data!S249</f>
        <v>M24</v>
      </c>
      <c r="P249" s="2" t="str">
        <f>Messy_Data!U249</f>
        <v>RESIGNED</v>
      </c>
      <c r="Q249" s="2">
        <f ca="1">Messy_Data!V249</f>
        <v>1497</v>
      </c>
      <c r="R249" s="2">
        <f ca="1">Messy_Data!W249</f>
        <v>49</v>
      </c>
      <c r="S249" s="2">
        <f ca="1">Messy_Data!X249</f>
        <v>4</v>
      </c>
      <c r="T249" s="2"/>
      <c r="U249" s="2"/>
      <c r="V249" s="2"/>
      <c r="W249" s="9"/>
      <c r="X249" s="2"/>
      <c r="Y249" s="12"/>
      <c r="Z249" s="12"/>
      <c r="AA249" s="2" t="str">
        <f ca="1">Messy_Data!AA249</f>
        <v>OK</v>
      </c>
    </row>
    <row r="250" spans="1:27" x14ac:dyDescent="0.3">
      <c r="A250" s="2" t="str">
        <f>Messy_Data!B250</f>
        <v>EMP249</v>
      </c>
      <c r="B250" s="2" t="str">
        <f>Messy_Data!D250</f>
        <v>Suresh</v>
      </c>
      <c r="C250" s="2" t="str">
        <f>Messy_Data!F250</f>
        <v>HR</v>
      </c>
      <c r="D250" s="3">
        <f>Messy_Data!H250</f>
        <v>44250</v>
      </c>
      <c r="E250" s="3">
        <f ca="1">Messy_Data!J250</f>
        <v>45052</v>
      </c>
      <c r="F250" s="2">
        <f>Messy_Data!L250</f>
        <v>9634577818</v>
      </c>
      <c r="G250" s="2" t="str">
        <f>Messy_Data!N250</f>
        <v>ankit@company.com</v>
      </c>
      <c r="H250" s="12">
        <f>Messy_Data!O250</f>
        <v>38515</v>
      </c>
      <c r="I250" s="2" t="str">
        <f>Messy_Data!P250</f>
        <v>20K-40K</v>
      </c>
      <c r="J250" s="2"/>
      <c r="K250" s="2"/>
      <c r="L250" s="2"/>
      <c r="M250" s="2"/>
      <c r="N250" s="2"/>
      <c r="O250" s="2" t="str">
        <f>Messy_Data!S250</f>
        <v>M22</v>
      </c>
      <c r="P250" s="2" t="str">
        <f>Messy_Data!U250</f>
        <v>ACTIVE</v>
      </c>
      <c r="Q250" s="2">
        <f ca="1">Messy_Data!V250</f>
        <v>802</v>
      </c>
      <c r="R250" s="2">
        <f ca="1">Messy_Data!W250</f>
        <v>26</v>
      </c>
      <c r="S250" s="2">
        <f ca="1">Messy_Data!X250</f>
        <v>2</v>
      </c>
      <c r="T250" s="2"/>
      <c r="U250" s="2"/>
      <c r="V250" s="2"/>
      <c r="W250" s="9"/>
      <c r="X250" s="2"/>
      <c r="Y250" s="12"/>
      <c r="Z250" s="12"/>
      <c r="AA250" s="2" t="str">
        <f ca="1">Messy_Data!AA250</f>
        <v>OK</v>
      </c>
    </row>
    <row r="251" spans="1:27" x14ac:dyDescent="0.3">
      <c r="A251" s="2" t="str">
        <f>Messy_Data!B251</f>
        <v>EMP250</v>
      </c>
      <c r="B251" s="2" t="str">
        <f>Messy_Data!D251</f>
        <v>Sunita</v>
      </c>
      <c r="C251" s="2" t="str">
        <f>Messy_Data!F251</f>
        <v>SALES</v>
      </c>
      <c r="D251" s="3">
        <f>Messy_Data!H251</f>
        <v>44014</v>
      </c>
      <c r="E251" s="3">
        <f ca="1">Messy_Data!J251</f>
        <v>45025</v>
      </c>
      <c r="F251" s="2">
        <f>Messy_Data!L251</f>
        <v>9339482228</v>
      </c>
      <c r="G251" s="2" t="str">
        <f>Messy_Data!N251</f>
        <v>amit@company.com</v>
      </c>
      <c r="H251" s="12">
        <f>Messy_Data!O251</f>
        <v>51506</v>
      </c>
      <c r="I251" s="2" t="str">
        <f>Messy_Data!P251</f>
        <v>40K-60K</v>
      </c>
      <c r="J251" s="2"/>
      <c r="K251" s="2"/>
      <c r="L251" s="2"/>
      <c r="M251" s="2"/>
      <c r="N251" s="2"/>
      <c r="O251" s="2" t="str">
        <f>Messy_Data!S251</f>
        <v>M11</v>
      </c>
      <c r="P251" s="2" t="str">
        <f>Messy_Data!U251</f>
        <v>RESIGNED</v>
      </c>
      <c r="Q251" s="2">
        <f ca="1">Messy_Data!V251</f>
        <v>1011</v>
      </c>
      <c r="R251" s="2">
        <f ca="1">Messy_Data!W251</f>
        <v>33</v>
      </c>
      <c r="S251" s="2">
        <f ca="1">Messy_Data!X251</f>
        <v>2</v>
      </c>
      <c r="T251" s="2"/>
      <c r="U251" s="2"/>
      <c r="V251" s="2"/>
      <c r="W251" s="9"/>
      <c r="X251" s="2"/>
      <c r="Y251" s="12"/>
      <c r="Z251" s="12"/>
      <c r="AA251" s="2" t="str">
        <f ca="1">Messy_Data!AA251</f>
        <v>OK</v>
      </c>
    </row>
    <row r="252" spans="1:27" x14ac:dyDescent="0.3">
      <c r="A252" s="2" t="str">
        <f>Messy_Data!B252</f>
        <v>EMP251</v>
      </c>
      <c r="B252" s="2" t="str">
        <f>Messy_Data!D252</f>
        <v>Rahul</v>
      </c>
      <c r="C252" s="2" t="str">
        <f>Messy_Data!F252</f>
        <v>FINANCE</v>
      </c>
      <c r="D252" s="3">
        <f>Messy_Data!H252</f>
        <v>45060</v>
      </c>
      <c r="E252" s="3">
        <f ca="1">Messy_Data!J252</f>
        <v>45392</v>
      </c>
      <c r="F252" s="2">
        <f>Messy_Data!L252</f>
        <v>9225478469</v>
      </c>
      <c r="G252" s="2" t="str">
        <f>Messy_Data!N252</f>
        <v>neha@company.com</v>
      </c>
      <c r="H252" s="12">
        <f>Messy_Data!O252</f>
        <v>41829</v>
      </c>
      <c r="I252" s="2" t="str">
        <f>Messy_Data!P252</f>
        <v>40K-60K</v>
      </c>
      <c r="J252" s="2"/>
      <c r="K252" s="2"/>
      <c r="L252" s="2"/>
      <c r="M252" s="2"/>
      <c r="N252" s="2"/>
      <c r="O252" s="2" t="str">
        <f>Messy_Data!S252</f>
        <v>M12</v>
      </c>
      <c r="P252" s="2" t="str">
        <f>Messy_Data!U252</f>
        <v>ACTIVE</v>
      </c>
      <c r="Q252" s="2">
        <f ca="1">Messy_Data!V252</f>
        <v>332</v>
      </c>
      <c r="R252" s="2">
        <f ca="1">Messy_Data!W252</f>
        <v>10</v>
      </c>
      <c r="S252" s="2">
        <f ca="1">Messy_Data!X252</f>
        <v>0</v>
      </c>
      <c r="T252" s="2"/>
      <c r="U252" s="2"/>
      <c r="V252" s="2"/>
      <c r="W252" s="9"/>
      <c r="X252" s="2"/>
      <c r="Y252" s="12"/>
      <c r="Z252" s="12"/>
      <c r="AA252" s="2" t="str">
        <f ca="1">Messy_Data!AA252</f>
        <v>OK</v>
      </c>
    </row>
    <row r="253" spans="1:27" x14ac:dyDescent="0.3">
      <c r="A253" s="2" t="str">
        <f>Messy_Data!B253</f>
        <v>EMP252</v>
      </c>
      <c r="B253" s="2" t="str">
        <f>Messy_Data!D253</f>
        <v>Kiran</v>
      </c>
      <c r="C253" s="2" t="str">
        <f>Messy_Data!F253</f>
        <v>HR</v>
      </c>
      <c r="D253" s="3">
        <f>Messy_Data!H253</f>
        <v>44620</v>
      </c>
      <c r="E253" s="3">
        <f ca="1">Messy_Data!J253</f>
        <v>46024</v>
      </c>
      <c r="F253" s="2">
        <f>Messy_Data!L253</f>
        <v>9207471715</v>
      </c>
      <c r="G253" s="2" t="str">
        <f>Messy_Data!N253</f>
        <v>kiran@company.com</v>
      </c>
      <c r="H253" s="12">
        <f>Messy_Data!O253</f>
        <v>17408</v>
      </c>
      <c r="I253" s="2" t="str">
        <f>Messy_Data!P253</f>
        <v>Below 20K</v>
      </c>
      <c r="J253" s="2"/>
      <c r="K253" s="2"/>
      <c r="L253" s="2"/>
      <c r="M253" s="2"/>
      <c r="N253" s="2"/>
      <c r="O253" s="2" t="str">
        <f>Messy_Data!S253</f>
        <v>M2</v>
      </c>
      <c r="P253" s="2" t="str">
        <f>Messy_Data!U253</f>
        <v>ACTIVE</v>
      </c>
      <c r="Q253" s="2">
        <f ca="1">Messy_Data!V253</f>
        <v>1404</v>
      </c>
      <c r="R253" s="2">
        <f ca="1">Messy_Data!W253</f>
        <v>46</v>
      </c>
      <c r="S253" s="2">
        <f ca="1">Messy_Data!X253</f>
        <v>3</v>
      </c>
      <c r="T253" s="2"/>
      <c r="U253" s="2"/>
      <c r="V253" s="2"/>
      <c r="W253" s="9"/>
      <c r="X253" s="2"/>
      <c r="Y253" s="12"/>
      <c r="Z253" s="12"/>
      <c r="AA253" s="2" t="str">
        <f ca="1">Messy_Data!AA253</f>
        <v>OK</v>
      </c>
    </row>
    <row r="254" spans="1:27" x14ac:dyDescent="0.3">
      <c r="A254" s="2" t="str">
        <f>Messy_Data!B254</f>
        <v>EMP253</v>
      </c>
      <c r="B254" s="2" t="str">
        <f>Messy_Data!D254</f>
        <v>Amit</v>
      </c>
      <c r="C254" s="2" t="str">
        <f>Messy_Data!F254</f>
        <v>FINANCE</v>
      </c>
      <c r="D254" s="3">
        <f>Messy_Data!H254</f>
        <v>44434</v>
      </c>
      <c r="E254" s="3">
        <f ca="1">Messy_Data!J254</f>
        <v>45491</v>
      </c>
      <c r="F254" s="2">
        <f>Messy_Data!L254</f>
        <v>9539364305</v>
      </c>
      <c r="G254" s="2" t="str">
        <f>Messy_Data!N254</f>
        <v>sunita@company.com</v>
      </c>
      <c r="H254" s="12">
        <f>Messy_Data!O254</f>
        <v>35319</v>
      </c>
      <c r="I254" s="2" t="str">
        <f>Messy_Data!P254</f>
        <v>20K-40K</v>
      </c>
      <c r="J254" s="2"/>
      <c r="K254" s="2"/>
      <c r="L254" s="2"/>
      <c r="M254" s="2"/>
      <c r="N254" s="2"/>
      <c r="O254" s="2" t="str">
        <f>Messy_Data!S254</f>
        <v>M13</v>
      </c>
      <c r="P254" s="2" t="str">
        <f>Messy_Data!U254</f>
        <v>ACTIVE</v>
      </c>
      <c r="Q254" s="2">
        <f ca="1">Messy_Data!V254</f>
        <v>1057</v>
      </c>
      <c r="R254" s="2">
        <f ca="1">Messy_Data!W254</f>
        <v>34</v>
      </c>
      <c r="S254" s="2">
        <f ca="1">Messy_Data!X254</f>
        <v>2</v>
      </c>
      <c r="T254" s="2"/>
      <c r="U254" s="2"/>
      <c r="V254" s="2"/>
      <c r="W254" s="9"/>
      <c r="X254" s="2"/>
      <c r="Y254" s="12"/>
      <c r="Z254" s="12"/>
      <c r="AA254" s="2" t="str">
        <f ca="1">Messy_Data!AA254</f>
        <v>OK</v>
      </c>
    </row>
    <row r="255" spans="1:27" x14ac:dyDescent="0.3">
      <c r="A255" s="2" t="str">
        <f>Messy_Data!B255</f>
        <v>EMP254</v>
      </c>
      <c r="B255" s="2" t="str">
        <f>Messy_Data!D255</f>
        <v>Vikas</v>
      </c>
      <c r="C255" s="2" t="str">
        <f>Messy_Data!F255</f>
        <v>FINANCE</v>
      </c>
      <c r="D255" s="3">
        <f>Messy_Data!H255</f>
        <v>44587</v>
      </c>
      <c r="E255" s="3">
        <f ca="1">Messy_Data!J255</f>
        <v>45001</v>
      </c>
      <c r="F255" s="2">
        <f>Messy_Data!L255</f>
        <v>9263134069</v>
      </c>
      <c r="G255" s="2" t="str">
        <f>Messy_Data!N255</f>
        <v>ravi@company.com</v>
      </c>
      <c r="H255" s="12">
        <f>Messy_Data!O255</f>
        <v>81836</v>
      </c>
      <c r="I255" s="2" t="str">
        <f>Messy_Data!P255</f>
        <v>Above 80K</v>
      </c>
      <c r="J255" s="2"/>
      <c r="K255" s="2"/>
      <c r="L255" s="2"/>
      <c r="M255" s="2"/>
      <c r="N255" s="2"/>
      <c r="O255" s="2" t="str">
        <f>Messy_Data!S255</f>
        <v>M16</v>
      </c>
      <c r="P255" s="2" t="str">
        <f>Messy_Data!U255</f>
        <v>ACTIVE</v>
      </c>
      <c r="Q255" s="2">
        <f ca="1">Messy_Data!V255</f>
        <v>414</v>
      </c>
      <c r="R255" s="2">
        <f ca="1">Messy_Data!W255</f>
        <v>13</v>
      </c>
      <c r="S255" s="2">
        <f ca="1">Messy_Data!X255</f>
        <v>1</v>
      </c>
      <c r="T255" s="2"/>
      <c r="U255" s="2"/>
      <c r="V255" s="2"/>
      <c r="W255" s="9"/>
      <c r="X255" s="2"/>
      <c r="Y255" s="12"/>
      <c r="Z255" s="12"/>
      <c r="AA255" s="2" t="str">
        <f ca="1">Messy_Data!AA255</f>
        <v>CHECK</v>
      </c>
    </row>
    <row r="256" spans="1:27" x14ac:dyDescent="0.3">
      <c r="A256" s="2" t="str">
        <f>Messy_Data!B256</f>
        <v>EMP255</v>
      </c>
      <c r="B256" s="2" t="str">
        <f>Messy_Data!D256</f>
        <v>Ankit</v>
      </c>
      <c r="C256" s="2" t="str">
        <f>Messy_Data!F256</f>
        <v>SALES</v>
      </c>
      <c r="D256" s="3">
        <f>Messy_Data!H256</f>
        <v>44449</v>
      </c>
      <c r="E256" s="3">
        <f ca="1">Messy_Data!J256</f>
        <v>44807</v>
      </c>
      <c r="F256" s="2">
        <f>Messy_Data!L256</f>
        <v>9639325222</v>
      </c>
      <c r="G256" s="2" t="str">
        <f>Messy_Data!N256</f>
        <v>kiran@company.com</v>
      </c>
      <c r="H256" s="12">
        <f>Messy_Data!O256</f>
        <v>19155</v>
      </c>
      <c r="I256" s="2" t="str">
        <f>Messy_Data!P256</f>
        <v>Below 20K</v>
      </c>
      <c r="J256" s="2"/>
      <c r="K256" s="2"/>
      <c r="L256" s="2"/>
      <c r="M256" s="2"/>
      <c r="N256" s="2"/>
      <c r="O256" s="2" t="str">
        <f>Messy_Data!S256</f>
        <v>M20</v>
      </c>
      <c r="P256" s="2" t="str">
        <f>Messy_Data!U256</f>
        <v>RESIGNED</v>
      </c>
      <c r="Q256" s="2">
        <f ca="1">Messy_Data!V256</f>
        <v>358</v>
      </c>
      <c r="R256" s="2">
        <f ca="1">Messy_Data!W256</f>
        <v>11</v>
      </c>
      <c r="S256" s="2">
        <f ca="1">Messy_Data!X256</f>
        <v>0</v>
      </c>
      <c r="T256" s="2"/>
      <c r="U256" s="2"/>
      <c r="V256" s="2"/>
      <c r="W256" s="9"/>
      <c r="X256" s="2"/>
      <c r="Y256" s="12"/>
      <c r="Z256" s="12"/>
      <c r="AA256" s="2" t="str">
        <f ca="1">Messy_Data!AA256</f>
        <v>OK</v>
      </c>
    </row>
    <row r="257" spans="1:27" x14ac:dyDescent="0.3">
      <c r="A257" s="2" t="str">
        <f>Messy_Data!B257</f>
        <v>EMP256</v>
      </c>
      <c r="B257" s="2" t="str">
        <f>Messy_Data!D257</f>
        <v>Vikas</v>
      </c>
      <c r="C257" s="2" t="str">
        <f>Messy_Data!F257</f>
        <v>HR</v>
      </c>
      <c r="D257" s="3">
        <f>Messy_Data!H257</f>
        <v>44973</v>
      </c>
      <c r="E257" s="3">
        <f ca="1">Messy_Data!J257</f>
        <v>45090</v>
      </c>
      <c r="F257" s="2">
        <f>Messy_Data!L257</f>
        <v>9453644712</v>
      </c>
      <c r="G257" s="2" t="str">
        <f>Messy_Data!N257</f>
        <v>neha@gmail.com</v>
      </c>
      <c r="H257" s="12">
        <f>Messy_Data!O257</f>
        <v>36887</v>
      </c>
      <c r="I257" s="2" t="str">
        <f>Messy_Data!P257</f>
        <v>20K-40K</v>
      </c>
      <c r="J257" s="2"/>
      <c r="K257" s="2"/>
      <c r="L257" s="2"/>
      <c r="M257" s="2"/>
      <c r="N257" s="2"/>
      <c r="O257" s="2" t="str">
        <f>Messy_Data!S257</f>
        <v>M6</v>
      </c>
      <c r="P257" s="2" t="str">
        <f>Messy_Data!U257</f>
        <v>RESIGNED</v>
      </c>
      <c r="Q257" s="2">
        <f ca="1">Messy_Data!V257</f>
        <v>117</v>
      </c>
      <c r="R257" s="2">
        <f ca="1">Messy_Data!W257</f>
        <v>3</v>
      </c>
      <c r="S257" s="2">
        <f ca="1">Messy_Data!X257</f>
        <v>0</v>
      </c>
      <c r="T257" s="2"/>
      <c r="U257" s="2"/>
      <c r="V257" s="2"/>
      <c r="W257" s="9"/>
      <c r="X257" s="2"/>
      <c r="Y257" s="12"/>
      <c r="Z257" s="12"/>
      <c r="AA257" s="2" t="str">
        <f ca="1">Messy_Data!AA257</f>
        <v>OK</v>
      </c>
    </row>
    <row r="258" spans="1:27" x14ac:dyDescent="0.3">
      <c r="A258" s="2" t="str">
        <f>Messy_Data!B258</f>
        <v>EMP257</v>
      </c>
      <c r="B258" s="2" t="str">
        <f>Messy_Data!D258</f>
        <v>Suresh</v>
      </c>
      <c r="C258" s="2" t="str">
        <f>Messy_Data!F258</f>
        <v>HR</v>
      </c>
      <c r="D258" s="3">
        <f>Messy_Data!H258</f>
        <v>43530</v>
      </c>
      <c r="E258" s="3">
        <f ca="1">Messy_Data!J258</f>
        <v>44150</v>
      </c>
      <c r="F258" s="2">
        <f>Messy_Data!L258</f>
        <v>9121664005</v>
      </c>
      <c r="G258" s="2" t="str">
        <f>Messy_Data!N258</f>
        <v>vikas@company.com</v>
      </c>
      <c r="H258" s="12">
        <f>Messy_Data!O258</f>
        <v>16496</v>
      </c>
      <c r="I258" s="2" t="str">
        <f>Messy_Data!P258</f>
        <v>Below 20K</v>
      </c>
      <c r="J258" s="2"/>
      <c r="K258" s="2"/>
      <c r="L258" s="2"/>
      <c r="M258" s="2"/>
      <c r="N258" s="2"/>
      <c r="O258" s="2" t="str">
        <f>Messy_Data!S258</f>
        <v>M22</v>
      </c>
      <c r="P258" s="2" t="str">
        <f>Messy_Data!U258</f>
        <v>RESIGNED</v>
      </c>
      <c r="Q258" s="2">
        <f ca="1">Messy_Data!V258</f>
        <v>620</v>
      </c>
      <c r="R258" s="2">
        <f ca="1">Messy_Data!W258</f>
        <v>20</v>
      </c>
      <c r="S258" s="2">
        <f ca="1">Messy_Data!X258</f>
        <v>1</v>
      </c>
      <c r="T258" s="2"/>
      <c r="U258" s="2"/>
      <c r="V258" s="2"/>
      <c r="W258" s="9"/>
      <c r="X258" s="2"/>
      <c r="Y258" s="12"/>
      <c r="Z258" s="12"/>
      <c r="AA258" s="2" t="str">
        <f ca="1">Messy_Data!AA258</f>
        <v>OK</v>
      </c>
    </row>
    <row r="259" spans="1:27" x14ac:dyDescent="0.3">
      <c r="A259" s="2" t="str">
        <f>Messy_Data!B259</f>
        <v>EMP258</v>
      </c>
      <c r="B259" s="2" t="str">
        <f>Messy_Data!D259</f>
        <v>Pooja</v>
      </c>
      <c r="C259" s="2" t="str">
        <f>Messy_Data!F259</f>
        <v>HR</v>
      </c>
      <c r="D259" s="3">
        <f>Messy_Data!H259</f>
        <v>43661</v>
      </c>
      <c r="E259" s="3">
        <f ca="1">Messy_Data!J259</f>
        <v>43821</v>
      </c>
      <c r="F259" s="2">
        <f>Messy_Data!L259</f>
        <v>9545536550</v>
      </c>
      <c r="G259" s="2" t="str">
        <f>Messy_Data!N259</f>
        <v>neha@company.com</v>
      </c>
      <c r="H259" s="12">
        <f>Messy_Data!O259</f>
        <v>29315</v>
      </c>
      <c r="I259" s="2" t="str">
        <f>Messy_Data!P259</f>
        <v>20K-40K</v>
      </c>
      <c r="J259" s="2"/>
      <c r="K259" s="2"/>
      <c r="L259" s="2"/>
      <c r="M259" s="2"/>
      <c r="N259" s="2"/>
      <c r="O259" s="2" t="str">
        <f>Messy_Data!S259</f>
        <v>M12</v>
      </c>
      <c r="P259" s="2" t="str">
        <f>Messy_Data!U259</f>
        <v>ACTIVE</v>
      </c>
      <c r="Q259" s="2">
        <f ca="1">Messy_Data!V259</f>
        <v>160</v>
      </c>
      <c r="R259" s="2">
        <f ca="1">Messy_Data!W259</f>
        <v>5</v>
      </c>
      <c r="S259" s="2">
        <f ca="1">Messy_Data!X259</f>
        <v>0</v>
      </c>
      <c r="T259" s="2"/>
      <c r="U259" s="2"/>
      <c r="V259" s="2"/>
      <c r="W259" s="9"/>
      <c r="X259" s="2"/>
      <c r="Y259" s="12"/>
      <c r="Z259" s="12"/>
      <c r="AA259" s="2" t="str">
        <f ca="1">Messy_Data!AA259</f>
        <v>OK</v>
      </c>
    </row>
    <row r="260" spans="1:27" x14ac:dyDescent="0.3">
      <c r="A260" s="2" t="str">
        <f>Messy_Data!B260</f>
        <v>EMP259</v>
      </c>
      <c r="B260" s="2" t="str">
        <f>Messy_Data!D260</f>
        <v>Amit</v>
      </c>
      <c r="C260" s="2" t="str">
        <f>Messy_Data!F260</f>
        <v>IT</v>
      </c>
      <c r="D260" s="3">
        <f>Messy_Data!H260</f>
        <v>43573</v>
      </c>
      <c r="E260" s="3">
        <f ca="1">Messy_Data!J260</f>
        <v>46024</v>
      </c>
      <c r="F260" s="2">
        <f>Messy_Data!L260</f>
        <v>9219444430</v>
      </c>
      <c r="G260" s="2" t="str">
        <f>Messy_Data!N260</f>
        <v>ravi@company.com</v>
      </c>
      <c r="H260" s="12">
        <f>Messy_Data!O260</f>
        <v>57459</v>
      </c>
      <c r="I260" s="2" t="str">
        <f>Messy_Data!P260</f>
        <v>40K-60K</v>
      </c>
      <c r="J260" s="2"/>
      <c r="K260" s="2"/>
      <c r="L260" s="2"/>
      <c r="M260" s="2"/>
      <c r="N260" s="2"/>
      <c r="O260" s="2" t="str">
        <f>Messy_Data!S260</f>
        <v>M18</v>
      </c>
      <c r="P260" s="2" t="str">
        <f>Messy_Data!U260</f>
        <v>ACTIVE</v>
      </c>
      <c r="Q260" s="2">
        <f ca="1">Messy_Data!V260</f>
        <v>2451</v>
      </c>
      <c r="R260" s="2">
        <f ca="1">Messy_Data!W260</f>
        <v>80</v>
      </c>
      <c r="S260" s="2">
        <f ca="1">Messy_Data!X260</f>
        <v>6</v>
      </c>
      <c r="T260" s="2"/>
      <c r="U260" s="2"/>
      <c r="V260" s="2"/>
      <c r="W260" s="9"/>
      <c r="X260" s="2"/>
      <c r="Y260" s="12"/>
      <c r="Z260" s="12"/>
      <c r="AA260" s="2" t="str">
        <f ca="1">Messy_Data!AA260</f>
        <v>OK</v>
      </c>
    </row>
    <row r="261" spans="1:27" x14ac:dyDescent="0.3">
      <c r="A261" s="2" t="str">
        <f>Messy_Data!B261</f>
        <v>EMP260</v>
      </c>
      <c r="B261" s="2" t="str">
        <f>Messy_Data!D261</f>
        <v>Rahul</v>
      </c>
      <c r="C261" s="2" t="str">
        <f>Messy_Data!F261</f>
        <v>SALES</v>
      </c>
      <c r="D261" s="3">
        <f>Messy_Data!H261</f>
        <v>44130</v>
      </c>
      <c r="E261" s="3">
        <f ca="1">Messy_Data!J261</f>
        <v>44552</v>
      </c>
      <c r="F261" s="2">
        <f>Messy_Data!L261</f>
        <v>9547907506</v>
      </c>
      <c r="G261" s="2" t="str">
        <f>Messy_Data!N261</f>
        <v>amit@company.com</v>
      </c>
      <c r="H261" s="12">
        <f>Messy_Data!O261</f>
        <v>14704</v>
      </c>
      <c r="I261" s="2" t="str">
        <f>Messy_Data!P261</f>
        <v>Below 20K</v>
      </c>
      <c r="J261" s="2"/>
      <c r="K261" s="2"/>
      <c r="L261" s="2"/>
      <c r="M261" s="2"/>
      <c r="N261" s="2"/>
      <c r="O261" s="2" t="str">
        <f>Messy_Data!S261</f>
        <v>M1</v>
      </c>
      <c r="P261" s="2" t="str">
        <f>Messy_Data!U261</f>
        <v>ACTIVE</v>
      </c>
      <c r="Q261" s="2">
        <f ca="1">Messy_Data!V261</f>
        <v>422</v>
      </c>
      <c r="R261" s="2">
        <f ca="1">Messy_Data!W261</f>
        <v>13</v>
      </c>
      <c r="S261" s="2">
        <f ca="1">Messy_Data!X261</f>
        <v>1</v>
      </c>
      <c r="T261" s="2"/>
      <c r="U261" s="2"/>
      <c r="V261" s="2"/>
      <c r="W261" s="9"/>
      <c r="X261" s="2"/>
      <c r="Y261" s="12"/>
      <c r="Z261" s="12"/>
      <c r="AA261" s="2" t="str">
        <f ca="1">Messy_Data!AA261</f>
        <v>OK</v>
      </c>
    </row>
    <row r="262" spans="1:27" x14ac:dyDescent="0.3">
      <c r="A262" s="2" t="str">
        <f>Messy_Data!B262</f>
        <v>EMP261</v>
      </c>
      <c r="B262" s="2" t="str">
        <f>Messy_Data!D262</f>
        <v>Pooja</v>
      </c>
      <c r="C262" s="2" t="str">
        <f>Messy_Data!F262</f>
        <v>FINANCE</v>
      </c>
      <c r="D262" s="3">
        <f>Messy_Data!H262</f>
        <v>43535</v>
      </c>
      <c r="E262" s="3">
        <f ca="1">Messy_Data!J262</f>
        <v>43720</v>
      </c>
      <c r="F262" s="2">
        <f>Messy_Data!L262</f>
        <v>9243459412</v>
      </c>
      <c r="G262" s="2" t="str">
        <f>Messy_Data!N262</f>
        <v>kiran@company.com</v>
      </c>
      <c r="H262" s="12">
        <f>Messy_Data!O262</f>
        <v>65760</v>
      </c>
      <c r="I262" s="2" t="str">
        <f>Messy_Data!P262</f>
        <v>60K-80K</v>
      </c>
      <c r="J262" s="2"/>
      <c r="K262" s="2"/>
      <c r="L262" s="2"/>
      <c r="M262" s="2"/>
      <c r="N262" s="2"/>
      <c r="O262" s="2" t="str">
        <f>Messy_Data!S262</f>
        <v>M15</v>
      </c>
      <c r="P262" s="2" t="str">
        <f>Messy_Data!U262</f>
        <v>ACTIVE</v>
      </c>
      <c r="Q262" s="2">
        <f ca="1">Messy_Data!V262</f>
        <v>185</v>
      </c>
      <c r="R262" s="2">
        <f ca="1">Messy_Data!W262</f>
        <v>6</v>
      </c>
      <c r="S262" s="2">
        <f ca="1">Messy_Data!X262</f>
        <v>0</v>
      </c>
      <c r="T262" s="2"/>
      <c r="U262" s="2"/>
      <c r="V262" s="2"/>
      <c r="W262" s="9"/>
      <c r="X262" s="2"/>
      <c r="Y262" s="12"/>
      <c r="Z262" s="12"/>
      <c r="AA262" s="2" t="str">
        <f ca="1">Messy_Data!AA262</f>
        <v>OK</v>
      </c>
    </row>
    <row r="263" spans="1:27" x14ac:dyDescent="0.3">
      <c r="A263" s="2" t="str">
        <f>Messy_Data!B263</f>
        <v>EMP262</v>
      </c>
      <c r="B263" s="2" t="str">
        <f>Messy_Data!D263</f>
        <v>Kiran</v>
      </c>
      <c r="C263" s="2" t="str">
        <f>Messy_Data!F263</f>
        <v>HR</v>
      </c>
      <c r="D263" s="3">
        <f>Messy_Data!H263</f>
        <v>44982</v>
      </c>
      <c r="E263" s="3">
        <f ca="1">Messy_Data!J263</f>
        <v>45153</v>
      </c>
      <c r="F263" s="2">
        <f>Messy_Data!L263</f>
        <v>9170357493</v>
      </c>
      <c r="G263" s="2" t="str">
        <f>Messy_Data!N263</f>
        <v>vikas@company.com</v>
      </c>
      <c r="H263" s="12">
        <f>Messy_Data!O263</f>
        <v>24502</v>
      </c>
      <c r="I263" s="2" t="str">
        <f>Messy_Data!P263</f>
        <v>20K-40K</v>
      </c>
      <c r="J263" s="2"/>
      <c r="K263" s="2"/>
      <c r="L263" s="2"/>
      <c r="M263" s="2"/>
      <c r="N263" s="2"/>
      <c r="O263" s="2" t="str">
        <f>Messy_Data!S263</f>
        <v>M6</v>
      </c>
      <c r="P263" s="2" t="str">
        <f>Messy_Data!U263</f>
        <v>ACTIVE</v>
      </c>
      <c r="Q263" s="2">
        <f ca="1">Messy_Data!V263</f>
        <v>171</v>
      </c>
      <c r="R263" s="2">
        <f ca="1">Messy_Data!W263</f>
        <v>5</v>
      </c>
      <c r="S263" s="2">
        <f ca="1">Messy_Data!X263</f>
        <v>0</v>
      </c>
      <c r="T263" s="2"/>
      <c r="U263" s="2"/>
      <c r="V263" s="2"/>
      <c r="W263" s="9"/>
      <c r="X263" s="2"/>
      <c r="Y263" s="12"/>
      <c r="Z263" s="12"/>
      <c r="AA263" s="2" t="str">
        <f ca="1">Messy_Data!AA263</f>
        <v>OK</v>
      </c>
    </row>
    <row r="264" spans="1:27" x14ac:dyDescent="0.3">
      <c r="A264" s="2" t="str">
        <f>Messy_Data!B264</f>
        <v>EMP263</v>
      </c>
      <c r="B264" s="2" t="str">
        <f>Messy_Data!D264</f>
        <v>Amit</v>
      </c>
      <c r="C264" s="2" t="str">
        <f>Messy_Data!F264</f>
        <v>IT</v>
      </c>
      <c r="D264" s="3">
        <f>Messy_Data!H264</f>
        <v>44592</v>
      </c>
      <c r="E264" s="3">
        <f ca="1">Messy_Data!J264</f>
        <v>45405</v>
      </c>
      <c r="F264" s="2">
        <f>Messy_Data!L264</f>
        <v>9659112338</v>
      </c>
      <c r="G264" s="2" t="str">
        <f>Messy_Data!N264</f>
        <v>sunita@company.com</v>
      </c>
      <c r="H264" s="12">
        <f>Messy_Data!O264</f>
        <v>46127</v>
      </c>
      <c r="I264" s="2" t="str">
        <f>Messy_Data!P264</f>
        <v>40K-60K</v>
      </c>
      <c r="J264" s="2"/>
      <c r="K264" s="2"/>
      <c r="L264" s="2"/>
      <c r="M264" s="2"/>
      <c r="N264" s="2"/>
      <c r="O264" s="2" t="str">
        <f>Messy_Data!S264</f>
        <v>M14</v>
      </c>
      <c r="P264" s="2" t="str">
        <f>Messy_Data!U264</f>
        <v>ACTIVE</v>
      </c>
      <c r="Q264" s="2">
        <f ca="1">Messy_Data!V264</f>
        <v>813</v>
      </c>
      <c r="R264" s="2">
        <f ca="1">Messy_Data!W264</f>
        <v>26</v>
      </c>
      <c r="S264" s="2">
        <f ca="1">Messy_Data!X264</f>
        <v>2</v>
      </c>
      <c r="T264" s="2"/>
      <c r="U264" s="2"/>
      <c r="V264" s="2"/>
      <c r="W264" s="9"/>
      <c r="X264" s="2"/>
      <c r="Y264" s="12"/>
      <c r="Z264" s="12"/>
      <c r="AA264" s="2" t="str">
        <f ca="1">Messy_Data!AA264</f>
        <v>OK</v>
      </c>
    </row>
    <row r="265" spans="1:27" x14ac:dyDescent="0.3">
      <c r="A265" s="2" t="str">
        <f>Messy_Data!B265</f>
        <v>EMP264</v>
      </c>
      <c r="B265" s="2" t="str">
        <f>Messy_Data!D265</f>
        <v>Vikas</v>
      </c>
      <c r="C265" s="2" t="str">
        <f>Messy_Data!F265</f>
        <v>IT</v>
      </c>
      <c r="D265" s="3">
        <f>Messy_Data!H265</f>
        <v>43863</v>
      </c>
      <c r="E265" s="3">
        <f ca="1">Messy_Data!J265</f>
        <v>44404</v>
      </c>
      <c r="F265" s="2">
        <f>Messy_Data!L265</f>
        <v>9547323453</v>
      </c>
      <c r="G265" s="2" t="str">
        <f>Messy_Data!N265</f>
        <v>neha@gmail.com</v>
      </c>
      <c r="H265" s="12">
        <f>Messy_Data!O265</f>
        <v>65378</v>
      </c>
      <c r="I265" s="2" t="str">
        <f>Messy_Data!P265</f>
        <v>60K-80K</v>
      </c>
      <c r="J265" s="2"/>
      <c r="K265" s="2"/>
      <c r="L265" s="2"/>
      <c r="M265" s="2"/>
      <c r="N265" s="2"/>
      <c r="O265" s="2" t="str">
        <f>Messy_Data!S265</f>
        <v>M20</v>
      </c>
      <c r="P265" s="2" t="str">
        <f>Messy_Data!U265</f>
        <v>RESIGNED</v>
      </c>
      <c r="Q265" s="2">
        <f ca="1">Messy_Data!V265</f>
        <v>541</v>
      </c>
      <c r="R265" s="2">
        <f ca="1">Messy_Data!W265</f>
        <v>17</v>
      </c>
      <c r="S265" s="2">
        <f ca="1">Messy_Data!X265</f>
        <v>1</v>
      </c>
      <c r="T265" s="2"/>
      <c r="U265" s="2"/>
      <c r="V265" s="2"/>
      <c r="W265" s="9"/>
      <c r="X265" s="2"/>
      <c r="Y265" s="12"/>
      <c r="Z265" s="12"/>
      <c r="AA265" s="2" t="str">
        <f ca="1">Messy_Data!AA265</f>
        <v>OK</v>
      </c>
    </row>
    <row r="266" spans="1:27" x14ac:dyDescent="0.3">
      <c r="A266" s="2" t="str">
        <f>Messy_Data!B266</f>
        <v>EMP265</v>
      </c>
      <c r="B266" s="2" t="str">
        <f>Messy_Data!D266</f>
        <v>Kiran</v>
      </c>
      <c r="C266" s="2" t="str">
        <f>Messy_Data!F266</f>
        <v>SALES</v>
      </c>
      <c r="D266" s="3">
        <f>Messy_Data!H266</f>
        <v>44985</v>
      </c>
      <c r="E266" s="3">
        <f ca="1">Messy_Data!J266</f>
        <v>45387</v>
      </c>
      <c r="F266" s="2">
        <f>Messy_Data!L266</f>
        <v>9398242601</v>
      </c>
      <c r="G266" s="2" t="str">
        <f>Messy_Data!N266</f>
        <v>rahul@company.com</v>
      </c>
      <c r="H266" s="12">
        <f>Messy_Data!O266</f>
        <v>38396</v>
      </c>
      <c r="I266" s="2" t="str">
        <f>Messy_Data!P266</f>
        <v>20K-40K</v>
      </c>
      <c r="J266" s="2"/>
      <c r="K266" s="2"/>
      <c r="L266" s="2"/>
      <c r="M266" s="2"/>
      <c r="N266" s="2"/>
      <c r="O266" s="2" t="str">
        <f>Messy_Data!S266</f>
        <v>M19</v>
      </c>
      <c r="P266" s="2" t="str">
        <f>Messy_Data!U266</f>
        <v>RESIGNED</v>
      </c>
      <c r="Q266" s="2">
        <f ca="1">Messy_Data!V266</f>
        <v>402</v>
      </c>
      <c r="R266" s="2">
        <f ca="1">Messy_Data!W266</f>
        <v>13</v>
      </c>
      <c r="S266" s="2">
        <f ca="1">Messy_Data!X266</f>
        <v>1</v>
      </c>
      <c r="T266" s="2"/>
      <c r="U266" s="2"/>
      <c r="V266" s="2"/>
      <c r="W266" s="9"/>
      <c r="X266" s="2"/>
      <c r="Y266" s="12"/>
      <c r="Z266" s="12"/>
      <c r="AA266" s="2" t="str">
        <f ca="1">Messy_Data!AA266</f>
        <v>OK</v>
      </c>
    </row>
    <row r="267" spans="1:27" x14ac:dyDescent="0.3">
      <c r="A267" s="2" t="str">
        <f>Messy_Data!B267</f>
        <v>EMP266</v>
      </c>
      <c r="B267" s="2" t="str">
        <f>Messy_Data!D267</f>
        <v>Rahul</v>
      </c>
      <c r="C267" s="2" t="str">
        <f>Messy_Data!F267</f>
        <v>FINANCE</v>
      </c>
      <c r="D267" s="3">
        <f>Messy_Data!H267</f>
        <v>45264</v>
      </c>
      <c r="E267" s="3">
        <f ca="1">Messy_Data!J267</f>
        <v>46024</v>
      </c>
      <c r="F267" s="2">
        <f>Messy_Data!L267</f>
        <v>9144572697</v>
      </c>
      <c r="G267" s="2" t="str">
        <f>Messy_Data!N267</f>
        <v>kiran@company.com</v>
      </c>
      <c r="H267" s="12">
        <f>Messy_Data!O267</f>
        <v>29881</v>
      </c>
      <c r="I267" s="2" t="str">
        <f>Messy_Data!P267</f>
        <v>20K-40K</v>
      </c>
      <c r="J267" s="2"/>
      <c r="K267" s="2"/>
      <c r="L267" s="2"/>
      <c r="M267" s="2"/>
      <c r="N267" s="2"/>
      <c r="O267" s="2" t="str">
        <f>Messy_Data!S267</f>
        <v>M24</v>
      </c>
      <c r="P267" s="2" t="str">
        <f>Messy_Data!U267</f>
        <v>RESIGNED</v>
      </c>
      <c r="Q267" s="2">
        <f ca="1">Messy_Data!V267</f>
        <v>760</v>
      </c>
      <c r="R267" s="2">
        <f ca="1">Messy_Data!W267</f>
        <v>24</v>
      </c>
      <c r="S267" s="2">
        <f ca="1">Messy_Data!X267</f>
        <v>2</v>
      </c>
      <c r="T267" s="2"/>
      <c r="U267" s="2"/>
      <c r="V267" s="2"/>
      <c r="W267" s="9"/>
      <c r="X267" s="2"/>
      <c r="Y267" s="12"/>
      <c r="Z267" s="12"/>
      <c r="AA267" s="2" t="str">
        <f ca="1">Messy_Data!AA267</f>
        <v>OK</v>
      </c>
    </row>
    <row r="268" spans="1:27" x14ac:dyDescent="0.3">
      <c r="A268" s="2" t="str">
        <f>Messy_Data!B268</f>
        <v>EMP267</v>
      </c>
      <c r="B268" s="2" t="str">
        <f>Messy_Data!D268</f>
        <v>Ravi</v>
      </c>
      <c r="C268" s="2" t="str">
        <f>Messy_Data!F268</f>
        <v>FINANCE</v>
      </c>
      <c r="D268" s="3">
        <f>Messy_Data!H268</f>
        <v>43721</v>
      </c>
      <c r="E268" s="3">
        <f ca="1">Messy_Data!J268</f>
        <v>45075</v>
      </c>
      <c r="F268" s="2">
        <f>Messy_Data!L268</f>
        <v>9256992818</v>
      </c>
      <c r="G268" s="2" t="str">
        <f>Messy_Data!N268</f>
        <v>ravi@company.com</v>
      </c>
      <c r="H268" s="12">
        <f>Messy_Data!O268</f>
        <v>78364</v>
      </c>
      <c r="I268" s="2" t="str">
        <f>Messy_Data!P268</f>
        <v>60K-80K</v>
      </c>
      <c r="J268" s="2"/>
      <c r="K268" s="2"/>
      <c r="L268" s="2"/>
      <c r="M268" s="2"/>
      <c r="N268" s="2"/>
      <c r="O268" s="2" t="str">
        <f>Messy_Data!S268</f>
        <v>M17</v>
      </c>
      <c r="P268" s="2" t="str">
        <f>Messy_Data!U268</f>
        <v>ON HOLD</v>
      </c>
      <c r="Q268" s="2">
        <f ca="1">Messy_Data!V268</f>
        <v>1354</v>
      </c>
      <c r="R268" s="2">
        <f ca="1">Messy_Data!W268</f>
        <v>44</v>
      </c>
      <c r="S268" s="2">
        <f ca="1">Messy_Data!X268</f>
        <v>3</v>
      </c>
      <c r="T268" s="2"/>
      <c r="U268" s="2"/>
      <c r="V268" s="2"/>
      <c r="W268" s="9"/>
      <c r="X268" s="2"/>
      <c r="Y268" s="12"/>
      <c r="Z268" s="12"/>
      <c r="AA268" s="2" t="str">
        <f ca="1">Messy_Data!AA268</f>
        <v>OK</v>
      </c>
    </row>
    <row r="269" spans="1:27" x14ac:dyDescent="0.3">
      <c r="A269" s="2" t="str">
        <f>Messy_Data!B269</f>
        <v>EMP268</v>
      </c>
      <c r="B269" s="2" t="str">
        <f>Messy_Data!D269</f>
        <v>Sunita</v>
      </c>
      <c r="C269" s="2" t="str">
        <f>Messy_Data!F269</f>
        <v>FINANCE</v>
      </c>
      <c r="D269" s="3">
        <f>Messy_Data!H269</f>
        <v>43577</v>
      </c>
      <c r="E269" s="3">
        <f ca="1">Messy_Data!J269</f>
        <v>44089</v>
      </c>
      <c r="F269" s="2">
        <f>Messy_Data!L269</f>
        <v>9519641627</v>
      </c>
      <c r="G269" s="2" t="str">
        <f>Messy_Data!N269</f>
        <v>ravi@company.com</v>
      </c>
      <c r="H269" s="12">
        <f>Messy_Data!O269</f>
        <v>61424</v>
      </c>
      <c r="I269" s="2" t="str">
        <f>Messy_Data!P269</f>
        <v>60K-80K</v>
      </c>
      <c r="J269" s="2"/>
      <c r="K269" s="2"/>
      <c r="L269" s="2"/>
      <c r="M269" s="2"/>
      <c r="N269" s="2"/>
      <c r="O269" s="2" t="str">
        <f>Messy_Data!S269</f>
        <v>M10</v>
      </c>
      <c r="P269" s="2" t="str">
        <f>Messy_Data!U269</f>
        <v>ON HOLD</v>
      </c>
      <c r="Q269" s="2">
        <f ca="1">Messy_Data!V269</f>
        <v>512</v>
      </c>
      <c r="R269" s="2">
        <f ca="1">Messy_Data!W269</f>
        <v>16</v>
      </c>
      <c r="S269" s="2">
        <f ca="1">Messy_Data!X269</f>
        <v>1</v>
      </c>
      <c r="T269" s="2"/>
      <c r="U269" s="2"/>
      <c r="V269" s="2"/>
      <c r="W269" s="9"/>
      <c r="X269" s="2"/>
      <c r="Y269" s="12"/>
      <c r="Z269" s="12"/>
      <c r="AA269" s="2" t="str">
        <f ca="1">Messy_Data!AA269</f>
        <v>OK</v>
      </c>
    </row>
    <row r="270" spans="1:27" x14ac:dyDescent="0.3">
      <c r="A270" s="2" t="str">
        <f>Messy_Data!B270</f>
        <v>EMP269</v>
      </c>
      <c r="B270" s="2" t="str">
        <f>Messy_Data!D270</f>
        <v>Ravi</v>
      </c>
      <c r="C270" s="2" t="str">
        <f>Messy_Data!F270</f>
        <v>FINANCE</v>
      </c>
      <c r="D270" s="3">
        <f>Messy_Data!H270</f>
        <v>45147</v>
      </c>
      <c r="E270" s="3">
        <f ca="1">Messy_Data!J270</f>
        <v>46133</v>
      </c>
      <c r="F270" s="2">
        <f>Messy_Data!L270</f>
        <v>9487720969</v>
      </c>
      <c r="G270" s="2" t="str">
        <f>Messy_Data!N270</f>
        <v>kiran@company.com</v>
      </c>
      <c r="H270" s="12">
        <f>Messy_Data!O270</f>
        <v>30597</v>
      </c>
      <c r="I270" s="2" t="str">
        <f>Messy_Data!P270</f>
        <v>20K-40K</v>
      </c>
      <c r="J270" s="2"/>
      <c r="K270" s="2"/>
      <c r="L270" s="2"/>
      <c r="M270" s="2"/>
      <c r="N270" s="2"/>
      <c r="O270" s="2" t="str">
        <f>Messy_Data!S270</f>
        <v>M4</v>
      </c>
      <c r="P270" s="2" t="str">
        <f>Messy_Data!U270</f>
        <v>RESIGNED</v>
      </c>
      <c r="Q270" s="2">
        <f ca="1">Messy_Data!V270</f>
        <v>986</v>
      </c>
      <c r="R270" s="2">
        <f ca="1">Messy_Data!W270</f>
        <v>32</v>
      </c>
      <c r="S270" s="2">
        <f ca="1">Messy_Data!X270</f>
        <v>2</v>
      </c>
      <c r="T270" s="2"/>
      <c r="U270" s="2"/>
      <c r="V270" s="2"/>
      <c r="W270" s="9"/>
      <c r="X270" s="2"/>
      <c r="Y270" s="12"/>
      <c r="Z270" s="12"/>
      <c r="AA270" s="2" t="str">
        <f ca="1">Messy_Data!AA270</f>
        <v>OK</v>
      </c>
    </row>
    <row r="271" spans="1:27" x14ac:dyDescent="0.3">
      <c r="A271" s="2" t="str">
        <f>Messy_Data!B271</f>
        <v>EMP270</v>
      </c>
      <c r="B271" s="2" t="str">
        <f>Messy_Data!D271</f>
        <v>Amit</v>
      </c>
      <c r="C271" s="2" t="str">
        <f>Messy_Data!F271</f>
        <v>IT</v>
      </c>
      <c r="D271" s="3">
        <f>Messy_Data!H271</f>
        <v>43722</v>
      </c>
      <c r="E271" s="3">
        <f ca="1">Messy_Data!J271</f>
        <v>43783</v>
      </c>
      <c r="F271" s="2">
        <f>Messy_Data!L271</f>
        <v>9803488137</v>
      </c>
      <c r="G271" s="2" t="str">
        <f>Messy_Data!N271</f>
        <v>amit@company.com</v>
      </c>
      <c r="H271" s="12">
        <f>Messy_Data!O271</f>
        <v>87059</v>
      </c>
      <c r="I271" s="2" t="str">
        <f>Messy_Data!P271</f>
        <v>Above 80K</v>
      </c>
      <c r="J271" s="2"/>
      <c r="K271" s="2"/>
      <c r="L271" s="2"/>
      <c r="M271" s="2"/>
      <c r="N271" s="2"/>
      <c r="O271" s="2" t="str">
        <f>Messy_Data!S271</f>
        <v>M1</v>
      </c>
      <c r="P271" s="2" t="str">
        <f>Messy_Data!U271</f>
        <v>RESIGNED</v>
      </c>
      <c r="Q271" s="2">
        <f ca="1">Messy_Data!V271</f>
        <v>61</v>
      </c>
      <c r="R271" s="2">
        <f ca="1">Messy_Data!W271</f>
        <v>2</v>
      </c>
      <c r="S271" s="2">
        <f ca="1">Messy_Data!X271</f>
        <v>0</v>
      </c>
      <c r="T271" s="2"/>
      <c r="U271" s="2"/>
      <c r="V271" s="2"/>
      <c r="W271" s="9"/>
      <c r="X271" s="2"/>
      <c r="Y271" s="12"/>
      <c r="Z271" s="12"/>
      <c r="AA271" s="2" t="str">
        <f ca="1">Messy_Data!AA271</f>
        <v>CHECK</v>
      </c>
    </row>
    <row r="272" spans="1:27" x14ac:dyDescent="0.3">
      <c r="A272" s="2" t="str">
        <f>Messy_Data!B272</f>
        <v>EMP271</v>
      </c>
      <c r="B272" s="2" t="str">
        <f>Messy_Data!D272</f>
        <v>Ankit</v>
      </c>
      <c r="C272" s="2" t="str">
        <f>Messy_Data!F272</f>
        <v>FINANCE</v>
      </c>
      <c r="D272" s="3">
        <f>Messy_Data!H272</f>
        <v>43989</v>
      </c>
      <c r="E272" s="3">
        <f ca="1">Messy_Data!J272</f>
        <v>45357</v>
      </c>
      <c r="F272" s="2">
        <f>Messy_Data!L272</f>
        <v>9782240471</v>
      </c>
      <c r="G272" s="2" t="str">
        <f>Messy_Data!N272</f>
        <v>neha@company.com</v>
      </c>
      <c r="H272" s="12">
        <f>Messy_Data!O272</f>
        <v>59526</v>
      </c>
      <c r="I272" s="2" t="str">
        <f>Messy_Data!P272</f>
        <v>40K-60K</v>
      </c>
      <c r="J272" s="2"/>
      <c r="K272" s="2"/>
      <c r="L272" s="2"/>
      <c r="M272" s="2"/>
      <c r="N272" s="2"/>
      <c r="O272" s="2" t="str">
        <f>Messy_Data!S272</f>
        <v>M16</v>
      </c>
      <c r="P272" s="2" t="str">
        <f>Messy_Data!U272</f>
        <v>ON HOLD</v>
      </c>
      <c r="Q272" s="2">
        <f ca="1">Messy_Data!V272</f>
        <v>1368</v>
      </c>
      <c r="R272" s="2">
        <f ca="1">Messy_Data!W272</f>
        <v>44</v>
      </c>
      <c r="S272" s="2">
        <f ca="1">Messy_Data!X272</f>
        <v>3</v>
      </c>
      <c r="T272" s="2"/>
      <c r="U272" s="2"/>
      <c r="V272" s="2"/>
      <c r="W272" s="9"/>
      <c r="X272" s="2"/>
      <c r="Y272" s="12"/>
      <c r="Z272" s="12"/>
      <c r="AA272" s="2" t="str">
        <f ca="1">Messy_Data!AA272</f>
        <v>OK</v>
      </c>
    </row>
    <row r="273" spans="1:27" x14ac:dyDescent="0.3">
      <c r="A273" s="2" t="str">
        <f>Messy_Data!B273</f>
        <v>EMP272</v>
      </c>
      <c r="B273" s="2" t="str">
        <f>Messy_Data!D273</f>
        <v>Kiran</v>
      </c>
      <c r="C273" s="2" t="str">
        <f>Messy_Data!F273</f>
        <v>SALES</v>
      </c>
      <c r="D273" s="3">
        <f>Messy_Data!H273</f>
        <v>43934</v>
      </c>
      <c r="E273" s="3">
        <f ca="1">Messy_Data!J273</f>
        <v>44165</v>
      </c>
      <c r="F273" s="2">
        <f>Messy_Data!L273</f>
        <v>9533952020</v>
      </c>
      <c r="G273" s="2" t="str">
        <f>Messy_Data!N273</f>
        <v>sunita@gmail.com</v>
      </c>
      <c r="H273" s="12">
        <f>Messy_Data!O273</f>
        <v>15022</v>
      </c>
      <c r="I273" s="2" t="str">
        <f>Messy_Data!P273</f>
        <v>Below 20K</v>
      </c>
      <c r="J273" s="2"/>
      <c r="K273" s="2"/>
      <c r="L273" s="2"/>
      <c r="M273" s="2"/>
      <c r="N273" s="2"/>
      <c r="O273" s="2" t="str">
        <f>Messy_Data!S273</f>
        <v>M20</v>
      </c>
      <c r="P273" s="2" t="str">
        <f>Messy_Data!U273</f>
        <v>ACTIVE</v>
      </c>
      <c r="Q273" s="2">
        <f ca="1">Messy_Data!V273</f>
        <v>231</v>
      </c>
      <c r="R273" s="2">
        <f ca="1">Messy_Data!W273</f>
        <v>7</v>
      </c>
      <c r="S273" s="2">
        <f ca="1">Messy_Data!X273</f>
        <v>0</v>
      </c>
      <c r="T273" s="2"/>
      <c r="U273" s="2"/>
      <c r="V273" s="2"/>
      <c r="W273" s="9"/>
      <c r="X273" s="2"/>
      <c r="Y273" s="12"/>
      <c r="Z273" s="12"/>
      <c r="AA273" s="2" t="str">
        <f ca="1">Messy_Data!AA273</f>
        <v>OK</v>
      </c>
    </row>
    <row r="274" spans="1:27" x14ac:dyDescent="0.3">
      <c r="A274" s="2" t="str">
        <f>Messy_Data!B274</f>
        <v>EMP273</v>
      </c>
      <c r="B274" s="2" t="str">
        <f>Messy_Data!D274</f>
        <v>Neha</v>
      </c>
      <c r="C274" s="2" t="str">
        <f>Messy_Data!F274</f>
        <v>FINANCE</v>
      </c>
      <c r="D274" s="3">
        <f>Messy_Data!H274</f>
        <v>44565</v>
      </c>
      <c r="E274" s="3">
        <f ca="1">Messy_Data!J274</f>
        <v>46024</v>
      </c>
      <c r="F274" s="2">
        <f>Messy_Data!L274</f>
        <v>9587259041</v>
      </c>
      <c r="G274" s="2" t="str">
        <f>Messy_Data!N274</f>
        <v>amit@company.com</v>
      </c>
      <c r="H274" s="12">
        <f>Messy_Data!O274</f>
        <v>91500</v>
      </c>
      <c r="I274" s="2" t="str">
        <f>Messy_Data!P274</f>
        <v>Above 80K</v>
      </c>
      <c r="J274" s="2"/>
      <c r="K274" s="2"/>
      <c r="L274" s="2"/>
      <c r="M274" s="2"/>
      <c r="N274" s="2"/>
      <c r="O274" s="2" t="str">
        <f>Messy_Data!S274</f>
        <v>M1</v>
      </c>
      <c r="P274" s="2" t="str">
        <f>Messy_Data!U274</f>
        <v>RESIGNED</v>
      </c>
      <c r="Q274" s="2">
        <f ca="1">Messy_Data!V274</f>
        <v>1459</v>
      </c>
      <c r="R274" s="2">
        <f ca="1">Messy_Data!W274</f>
        <v>47</v>
      </c>
      <c r="S274" s="2">
        <f ca="1">Messy_Data!X274</f>
        <v>3</v>
      </c>
      <c r="T274" s="2"/>
      <c r="U274" s="2"/>
      <c r="V274" s="2"/>
      <c r="W274" s="9"/>
      <c r="X274" s="2"/>
      <c r="Y274" s="12"/>
      <c r="Z274" s="12"/>
      <c r="AA274" s="2" t="str">
        <f ca="1">Messy_Data!AA274</f>
        <v>OK</v>
      </c>
    </row>
    <row r="275" spans="1:27" x14ac:dyDescent="0.3">
      <c r="A275" s="2" t="str">
        <f>Messy_Data!B275</f>
        <v>EMP274</v>
      </c>
      <c r="B275" s="2" t="str">
        <f>Messy_Data!D275</f>
        <v>Pooja</v>
      </c>
      <c r="C275" s="2" t="str">
        <f>Messy_Data!F275</f>
        <v>IT</v>
      </c>
      <c r="D275" s="3">
        <f>Messy_Data!H275</f>
        <v>44572</v>
      </c>
      <c r="E275" s="3">
        <f ca="1">Messy_Data!J275</f>
        <v>45723</v>
      </c>
      <c r="F275" s="2">
        <f>Messy_Data!L275</f>
        <v>9745629981</v>
      </c>
      <c r="G275" s="2" t="str">
        <f>Messy_Data!N275</f>
        <v>ravi@company.com</v>
      </c>
      <c r="H275" s="12">
        <f>Messy_Data!O275</f>
        <v>29517</v>
      </c>
      <c r="I275" s="2" t="str">
        <f>Messy_Data!P275</f>
        <v>20K-40K</v>
      </c>
      <c r="J275" s="2"/>
      <c r="K275" s="2"/>
      <c r="L275" s="2"/>
      <c r="M275" s="2"/>
      <c r="N275" s="2"/>
      <c r="O275" s="2" t="str">
        <f>Messy_Data!S275</f>
        <v>M23</v>
      </c>
      <c r="P275" s="2" t="str">
        <f>Messy_Data!U275</f>
        <v>RESIGNED</v>
      </c>
      <c r="Q275" s="2">
        <f ca="1">Messy_Data!V275</f>
        <v>1151</v>
      </c>
      <c r="R275" s="2">
        <f ca="1">Messy_Data!W275</f>
        <v>37</v>
      </c>
      <c r="S275" s="2">
        <f ca="1">Messy_Data!X275</f>
        <v>3</v>
      </c>
      <c r="T275" s="2"/>
      <c r="U275" s="2"/>
      <c r="V275" s="2"/>
      <c r="W275" s="9"/>
      <c r="X275" s="2"/>
      <c r="Y275" s="12"/>
      <c r="Z275" s="12"/>
      <c r="AA275" s="2" t="str">
        <f ca="1">Messy_Data!AA275</f>
        <v>OK</v>
      </c>
    </row>
    <row r="276" spans="1:27" x14ac:dyDescent="0.3">
      <c r="A276" s="2" t="str">
        <f>Messy_Data!B276</f>
        <v>EMP275</v>
      </c>
      <c r="B276" s="2" t="str">
        <f>Messy_Data!D276</f>
        <v>Sunita</v>
      </c>
      <c r="C276" s="2" t="str">
        <f>Messy_Data!F276</f>
        <v>HR</v>
      </c>
      <c r="D276" s="3">
        <f>Messy_Data!H276</f>
        <v>43996</v>
      </c>
      <c r="E276" s="3">
        <f ca="1">Messy_Data!J276</f>
        <v>45046</v>
      </c>
      <c r="F276" s="2">
        <f>Messy_Data!L276</f>
        <v>9741467345</v>
      </c>
      <c r="G276" s="2" t="str">
        <f>Messy_Data!N276</f>
        <v>vikas@company.com</v>
      </c>
      <c r="H276" s="12">
        <f>Messy_Data!O276</f>
        <v>21930</v>
      </c>
      <c r="I276" s="2" t="str">
        <f>Messy_Data!P276</f>
        <v>20K-40K</v>
      </c>
      <c r="J276" s="2"/>
      <c r="K276" s="2"/>
      <c r="L276" s="2"/>
      <c r="M276" s="2"/>
      <c r="N276" s="2"/>
      <c r="O276" s="2" t="str">
        <f>Messy_Data!S276</f>
        <v>M15</v>
      </c>
      <c r="P276" s="2" t="str">
        <f>Messy_Data!U276</f>
        <v>RESIGNED</v>
      </c>
      <c r="Q276" s="2">
        <f ca="1">Messy_Data!V276</f>
        <v>1050</v>
      </c>
      <c r="R276" s="2">
        <f ca="1">Messy_Data!W276</f>
        <v>34</v>
      </c>
      <c r="S276" s="2">
        <f ca="1">Messy_Data!X276</f>
        <v>2</v>
      </c>
      <c r="T276" s="2"/>
      <c r="U276" s="2"/>
      <c r="V276" s="2"/>
      <c r="W276" s="9"/>
      <c r="X276" s="2"/>
      <c r="Y276" s="12"/>
      <c r="Z276" s="12"/>
      <c r="AA276" s="2" t="str">
        <f ca="1">Messy_Data!AA276</f>
        <v>OK</v>
      </c>
    </row>
    <row r="277" spans="1:27" x14ac:dyDescent="0.3">
      <c r="A277" s="2" t="str">
        <f>Messy_Data!B277</f>
        <v>EMP276</v>
      </c>
      <c r="B277" s="2" t="str">
        <f>Messy_Data!D277</f>
        <v>Vikas</v>
      </c>
      <c r="C277" s="2" t="str">
        <f>Messy_Data!F277</f>
        <v>FINANCE</v>
      </c>
      <c r="D277" s="3">
        <f>Messy_Data!H277</f>
        <v>44573</v>
      </c>
      <c r="E277" s="3">
        <f ca="1">Messy_Data!J277</f>
        <v>46034</v>
      </c>
      <c r="F277" s="2">
        <f>Messy_Data!L277</f>
        <v>9539842844</v>
      </c>
      <c r="G277" s="2" t="str">
        <f>Messy_Data!N277</f>
        <v>neha@company.com</v>
      </c>
      <c r="H277" s="12">
        <f>Messy_Data!O277</f>
        <v>18792</v>
      </c>
      <c r="I277" s="2" t="str">
        <f>Messy_Data!P277</f>
        <v>Below 20K</v>
      </c>
      <c r="J277" s="2"/>
      <c r="K277" s="2"/>
      <c r="L277" s="2"/>
      <c r="M277" s="2"/>
      <c r="N277" s="2"/>
      <c r="O277" s="2" t="str">
        <f>Messy_Data!S277</f>
        <v>M18</v>
      </c>
      <c r="P277" s="2" t="str">
        <f>Messy_Data!U277</f>
        <v>RESIGNED</v>
      </c>
      <c r="Q277" s="2">
        <f ca="1">Messy_Data!V277</f>
        <v>1461</v>
      </c>
      <c r="R277" s="2">
        <f ca="1">Messy_Data!W277</f>
        <v>48</v>
      </c>
      <c r="S277" s="2">
        <f ca="1">Messy_Data!X277</f>
        <v>4</v>
      </c>
      <c r="T277" s="2"/>
      <c r="U277" s="2"/>
      <c r="V277" s="2"/>
      <c r="W277" s="9"/>
      <c r="X277" s="2"/>
      <c r="Y277" s="12"/>
      <c r="Z277" s="12"/>
      <c r="AA277" s="2" t="str">
        <f ca="1">Messy_Data!AA277</f>
        <v>OK</v>
      </c>
    </row>
    <row r="278" spans="1:27" x14ac:dyDescent="0.3">
      <c r="A278" s="2" t="str">
        <f>Messy_Data!B278</f>
        <v>EMP277</v>
      </c>
      <c r="B278" s="2" t="str">
        <f>Messy_Data!D278</f>
        <v>Suresh</v>
      </c>
      <c r="C278" s="2" t="str">
        <f>Messy_Data!F278</f>
        <v>SALES</v>
      </c>
      <c r="D278" s="3">
        <f>Messy_Data!H278</f>
        <v>45260</v>
      </c>
      <c r="E278" s="3">
        <f ca="1">Messy_Data!J278</f>
        <v>46406</v>
      </c>
      <c r="F278" s="2">
        <f>Messy_Data!L278</f>
        <v>9195723614</v>
      </c>
      <c r="G278" s="2" t="str">
        <f>Messy_Data!N278</f>
        <v>rahul@company.com</v>
      </c>
      <c r="H278" s="12">
        <f>Messy_Data!O278</f>
        <v>62051</v>
      </c>
      <c r="I278" s="2" t="str">
        <f>Messy_Data!P278</f>
        <v>60K-80K</v>
      </c>
      <c r="J278" s="2"/>
      <c r="K278" s="2"/>
      <c r="L278" s="2"/>
      <c r="M278" s="2"/>
      <c r="N278" s="2"/>
      <c r="O278" s="2" t="str">
        <f>Messy_Data!S278</f>
        <v>M4</v>
      </c>
      <c r="P278" s="2" t="str">
        <f>Messy_Data!U278</f>
        <v>ON HOLD</v>
      </c>
      <c r="Q278" s="2">
        <f ca="1">Messy_Data!V278</f>
        <v>1146</v>
      </c>
      <c r="R278" s="2">
        <f ca="1">Messy_Data!W278</f>
        <v>37</v>
      </c>
      <c r="S278" s="2">
        <f ca="1">Messy_Data!X278</f>
        <v>3</v>
      </c>
      <c r="T278" s="2"/>
      <c r="U278" s="2"/>
      <c r="V278" s="2"/>
      <c r="W278" s="9"/>
      <c r="X278" s="2"/>
      <c r="Y278" s="12"/>
      <c r="Z278" s="12"/>
      <c r="AA278" s="2" t="str">
        <f ca="1">Messy_Data!AA278</f>
        <v>OK</v>
      </c>
    </row>
    <row r="279" spans="1:27" x14ac:dyDescent="0.3">
      <c r="A279" s="2" t="str">
        <f>Messy_Data!B279</f>
        <v>EMP278</v>
      </c>
      <c r="B279" s="2" t="str">
        <f>Messy_Data!D279</f>
        <v>Kiran</v>
      </c>
      <c r="C279" s="2" t="str">
        <f>Messy_Data!F279</f>
        <v>FINANCE</v>
      </c>
      <c r="D279" s="3">
        <f>Messy_Data!H279</f>
        <v>44299</v>
      </c>
      <c r="E279" s="3">
        <f ca="1">Messy_Data!J279</f>
        <v>44441</v>
      </c>
      <c r="F279" s="2">
        <f>Messy_Data!L279</f>
        <v>9198077305</v>
      </c>
      <c r="G279" s="2" t="str">
        <f>Messy_Data!N279</f>
        <v>sunita@company.com</v>
      </c>
      <c r="H279" s="12">
        <f>Messy_Data!O279</f>
        <v>94195</v>
      </c>
      <c r="I279" s="2" t="str">
        <f>Messy_Data!P279</f>
        <v>Above 80K</v>
      </c>
      <c r="J279" s="2"/>
      <c r="K279" s="2"/>
      <c r="L279" s="2"/>
      <c r="M279" s="2"/>
      <c r="N279" s="2"/>
      <c r="O279" s="2" t="str">
        <f>Messy_Data!S279</f>
        <v>M1</v>
      </c>
      <c r="P279" s="2" t="str">
        <f>Messy_Data!U279</f>
        <v>ON HOLD</v>
      </c>
      <c r="Q279" s="2">
        <f ca="1">Messy_Data!V279</f>
        <v>142</v>
      </c>
      <c r="R279" s="2">
        <f ca="1">Messy_Data!W279</f>
        <v>4</v>
      </c>
      <c r="S279" s="2">
        <f ca="1">Messy_Data!X279</f>
        <v>0</v>
      </c>
      <c r="T279" s="2"/>
      <c r="U279" s="2"/>
      <c r="V279" s="2"/>
      <c r="W279" s="9"/>
      <c r="X279" s="2"/>
      <c r="Y279" s="12"/>
      <c r="Z279" s="12"/>
      <c r="AA279" s="2" t="str">
        <f ca="1">Messy_Data!AA279</f>
        <v>CHECK</v>
      </c>
    </row>
    <row r="280" spans="1:27" x14ac:dyDescent="0.3">
      <c r="A280" s="2" t="str">
        <f>Messy_Data!B280</f>
        <v>EMP279</v>
      </c>
      <c r="B280" s="2" t="str">
        <f>Messy_Data!D280</f>
        <v>Vikas</v>
      </c>
      <c r="C280" s="2" t="str">
        <f>Messy_Data!F280</f>
        <v>SALES</v>
      </c>
      <c r="D280" s="3">
        <f>Messy_Data!H280</f>
        <v>44636</v>
      </c>
      <c r="E280" s="3">
        <f ca="1">Messy_Data!J280</f>
        <v>45636</v>
      </c>
      <c r="F280" s="2">
        <f>Messy_Data!L280</f>
        <v>9772513756</v>
      </c>
      <c r="G280" s="2" t="str">
        <f>Messy_Data!N280</f>
        <v>rahul@company.com</v>
      </c>
      <c r="H280" s="12">
        <f>Messy_Data!O280</f>
        <v>75557</v>
      </c>
      <c r="I280" s="2" t="str">
        <f>Messy_Data!P280</f>
        <v>60K-80K</v>
      </c>
      <c r="J280" s="2"/>
      <c r="K280" s="2"/>
      <c r="L280" s="2"/>
      <c r="M280" s="2"/>
      <c r="N280" s="2"/>
      <c r="O280" s="2" t="str">
        <f>Messy_Data!S280</f>
        <v>M5</v>
      </c>
      <c r="P280" s="2" t="str">
        <f>Messy_Data!U280</f>
        <v>RESIGNED</v>
      </c>
      <c r="Q280" s="2">
        <f ca="1">Messy_Data!V280</f>
        <v>1000</v>
      </c>
      <c r="R280" s="2">
        <f ca="1">Messy_Data!W280</f>
        <v>32</v>
      </c>
      <c r="S280" s="2">
        <f ca="1">Messy_Data!X280</f>
        <v>2</v>
      </c>
      <c r="T280" s="2"/>
      <c r="U280" s="2"/>
      <c r="V280" s="2"/>
      <c r="W280" s="9"/>
      <c r="X280" s="2"/>
      <c r="Y280" s="12"/>
      <c r="Z280" s="12"/>
      <c r="AA280" s="2" t="str">
        <f ca="1">Messy_Data!AA280</f>
        <v>OK</v>
      </c>
    </row>
    <row r="281" spans="1:27" x14ac:dyDescent="0.3">
      <c r="A281" s="2" t="str">
        <f>Messy_Data!B281</f>
        <v>EMP280</v>
      </c>
      <c r="B281" s="2" t="str">
        <f>Messy_Data!D281</f>
        <v>Sunita</v>
      </c>
      <c r="C281" s="2" t="str">
        <f>Messy_Data!F281</f>
        <v>IT</v>
      </c>
      <c r="D281" s="3">
        <f>Messy_Data!H281</f>
        <v>45013</v>
      </c>
      <c r="E281" s="3">
        <f ca="1">Messy_Data!J281</f>
        <v>46024</v>
      </c>
      <c r="F281" s="2">
        <f>Messy_Data!L281</f>
        <v>9715769563</v>
      </c>
      <c r="G281" s="2" t="str">
        <f>Messy_Data!N281</f>
        <v>rahul@gmail.com</v>
      </c>
      <c r="H281" s="12">
        <f>Messy_Data!O281</f>
        <v>20900</v>
      </c>
      <c r="I281" s="2" t="str">
        <f>Messy_Data!P281</f>
        <v>20K-40K</v>
      </c>
      <c r="J281" s="2"/>
      <c r="K281" s="2"/>
      <c r="L281" s="2"/>
      <c r="M281" s="2"/>
      <c r="N281" s="2"/>
      <c r="O281" s="2" t="str">
        <f>Messy_Data!S281</f>
        <v>M23</v>
      </c>
      <c r="P281" s="2" t="str">
        <f>Messy_Data!U281</f>
        <v>ON HOLD</v>
      </c>
      <c r="Q281" s="2">
        <f ca="1">Messy_Data!V281</f>
        <v>1011</v>
      </c>
      <c r="R281" s="2">
        <f ca="1">Messy_Data!W281</f>
        <v>33</v>
      </c>
      <c r="S281" s="2">
        <f ca="1">Messy_Data!X281</f>
        <v>2</v>
      </c>
      <c r="T281" s="2"/>
      <c r="U281" s="2"/>
      <c r="V281" s="2"/>
      <c r="W281" s="9"/>
      <c r="X281" s="2"/>
      <c r="Y281" s="12"/>
      <c r="Z281" s="12"/>
      <c r="AA281" s="2" t="str">
        <f ca="1">Messy_Data!AA281</f>
        <v>OK</v>
      </c>
    </row>
    <row r="282" spans="1:27" x14ac:dyDescent="0.3">
      <c r="A282" s="2" t="str">
        <f>Messy_Data!B282</f>
        <v>EMP281</v>
      </c>
      <c r="B282" s="2" t="str">
        <f>Messy_Data!D282</f>
        <v>Neha</v>
      </c>
      <c r="C282" s="2" t="str">
        <f>Messy_Data!F282</f>
        <v>FINANCE</v>
      </c>
      <c r="D282" s="3">
        <f>Messy_Data!H282</f>
        <v>45012</v>
      </c>
      <c r="E282" s="3">
        <f ca="1">Messy_Data!J282</f>
        <v>45433</v>
      </c>
      <c r="F282" s="2">
        <f>Messy_Data!L282</f>
        <v>9873784208</v>
      </c>
      <c r="G282" s="2" t="str">
        <f>Messy_Data!N282</f>
        <v>suresh@company.com</v>
      </c>
      <c r="H282" s="12">
        <f>Messy_Data!O282</f>
        <v>58398</v>
      </c>
      <c r="I282" s="2" t="str">
        <f>Messy_Data!P282</f>
        <v>40K-60K</v>
      </c>
      <c r="J282" s="2"/>
      <c r="K282" s="2"/>
      <c r="L282" s="2"/>
      <c r="M282" s="2"/>
      <c r="N282" s="2"/>
      <c r="O282" s="2" t="str">
        <f>Messy_Data!S282</f>
        <v>M22</v>
      </c>
      <c r="P282" s="2" t="str">
        <f>Messy_Data!U282</f>
        <v>RESIGNED</v>
      </c>
      <c r="Q282" s="2">
        <f ca="1">Messy_Data!V282</f>
        <v>421</v>
      </c>
      <c r="R282" s="2">
        <f ca="1">Messy_Data!W282</f>
        <v>13</v>
      </c>
      <c r="S282" s="2">
        <f ca="1">Messy_Data!X282</f>
        <v>1</v>
      </c>
      <c r="T282" s="2"/>
      <c r="U282" s="2"/>
      <c r="V282" s="2"/>
      <c r="W282" s="9"/>
      <c r="X282" s="2"/>
      <c r="Y282" s="12"/>
      <c r="Z282" s="12"/>
      <c r="AA282" s="2" t="str">
        <f ca="1">Messy_Data!AA282</f>
        <v>OK</v>
      </c>
    </row>
    <row r="283" spans="1:27" x14ac:dyDescent="0.3">
      <c r="A283" s="2" t="str">
        <f>Messy_Data!B283</f>
        <v>EMP282</v>
      </c>
      <c r="B283" s="2" t="str">
        <f>Messy_Data!D283</f>
        <v>Kiran</v>
      </c>
      <c r="C283" s="2" t="str">
        <f>Messy_Data!F283</f>
        <v>IT</v>
      </c>
      <c r="D283" s="3">
        <f>Messy_Data!H283</f>
        <v>44007</v>
      </c>
      <c r="E283" s="3">
        <f ca="1">Messy_Data!J283</f>
        <v>44774</v>
      </c>
      <c r="F283" s="2">
        <f>Messy_Data!L283</f>
        <v>9623115702</v>
      </c>
      <c r="G283" s="2" t="str">
        <f>Messy_Data!N283</f>
        <v>ankit@company.com</v>
      </c>
      <c r="H283" s="12">
        <f>Messy_Data!O283</f>
        <v>56695</v>
      </c>
      <c r="I283" s="2" t="str">
        <f>Messy_Data!P283</f>
        <v>40K-60K</v>
      </c>
      <c r="J283" s="2"/>
      <c r="K283" s="2"/>
      <c r="L283" s="2"/>
      <c r="M283" s="2"/>
      <c r="N283" s="2"/>
      <c r="O283" s="2" t="str">
        <f>Messy_Data!S283</f>
        <v>M19</v>
      </c>
      <c r="P283" s="2" t="str">
        <f>Messy_Data!U283</f>
        <v>ON HOLD</v>
      </c>
      <c r="Q283" s="2">
        <f ca="1">Messy_Data!V283</f>
        <v>767</v>
      </c>
      <c r="R283" s="2">
        <f ca="1">Messy_Data!W283</f>
        <v>25</v>
      </c>
      <c r="S283" s="2">
        <f ca="1">Messy_Data!X283</f>
        <v>2</v>
      </c>
      <c r="T283" s="2"/>
      <c r="U283" s="2"/>
      <c r="V283" s="2"/>
      <c r="W283" s="9"/>
      <c r="X283" s="2"/>
      <c r="Y283" s="12"/>
      <c r="Z283" s="12"/>
      <c r="AA283" s="2" t="str">
        <f ca="1">Messy_Data!AA283</f>
        <v>OK</v>
      </c>
    </row>
    <row r="284" spans="1:27" x14ac:dyDescent="0.3">
      <c r="A284" s="2" t="str">
        <f>Messy_Data!B284</f>
        <v>EMP283</v>
      </c>
      <c r="B284" s="2" t="str">
        <f>Messy_Data!D284</f>
        <v>Rahul</v>
      </c>
      <c r="C284" s="2" t="str">
        <f>Messy_Data!F284</f>
        <v>HR</v>
      </c>
      <c r="D284" s="3">
        <f>Messy_Data!H284</f>
        <v>43694</v>
      </c>
      <c r="E284" s="3">
        <f ca="1">Messy_Data!J284</f>
        <v>44119</v>
      </c>
      <c r="F284" s="2">
        <f>Messy_Data!L284</f>
        <v>9581322902</v>
      </c>
      <c r="G284" s="2" t="str">
        <f>Messy_Data!N284</f>
        <v>amit@company.com</v>
      </c>
      <c r="H284" s="12">
        <f>Messy_Data!O284</f>
        <v>37029</v>
      </c>
      <c r="I284" s="2" t="str">
        <f>Messy_Data!P284</f>
        <v>20K-40K</v>
      </c>
      <c r="J284" s="2"/>
      <c r="K284" s="2"/>
      <c r="L284" s="2"/>
      <c r="M284" s="2"/>
      <c r="N284" s="2"/>
      <c r="O284" s="2" t="str">
        <f>Messy_Data!S284</f>
        <v>M19</v>
      </c>
      <c r="P284" s="2" t="str">
        <f>Messy_Data!U284</f>
        <v>RESIGNED</v>
      </c>
      <c r="Q284" s="2">
        <f ca="1">Messy_Data!V284</f>
        <v>425</v>
      </c>
      <c r="R284" s="2">
        <f ca="1">Messy_Data!W284</f>
        <v>13</v>
      </c>
      <c r="S284" s="2">
        <f ca="1">Messy_Data!X284</f>
        <v>1</v>
      </c>
      <c r="T284" s="2"/>
      <c r="U284" s="2"/>
      <c r="V284" s="2"/>
      <c r="W284" s="9"/>
      <c r="X284" s="2"/>
      <c r="Y284" s="12"/>
      <c r="Z284" s="12"/>
      <c r="AA284" s="2" t="str">
        <f ca="1">Messy_Data!AA284</f>
        <v>OK</v>
      </c>
    </row>
    <row r="285" spans="1:27" x14ac:dyDescent="0.3">
      <c r="A285" s="2" t="str">
        <f>Messy_Data!B285</f>
        <v>EMP284</v>
      </c>
      <c r="B285" s="2" t="str">
        <f>Messy_Data!D285</f>
        <v>Rahul</v>
      </c>
      <c r="C285" s="2" t="str">
        <f>Messy_Data!F285</f>
        <v>IT</v>
      </c>
      <c r="D285" s="3">
        <f>Messy_Data!H285</f>
        <v>44054</v>
      </c>
      <c r="E285" s="3">
        <f ca="1">Messy_Data!J285</f>
        <v>45375</v>
      </c>
      <c r="F285" s="2">
        <f>Messy_Data!L285</f>
        <v>9942364996</v>
      </c>
      <c r="G285" s="2" t="str">
        <f>Messy_Data!N285</f>
        <v>pooja@company.com</v>
      </c>
      <c r="H285" s="12">
        <f>Messy_Data!O285</f>
        <v>32971</v>
      </c>
      <c r="I285" s="2" t="str">
        <f>Messy_Data!P285</f>
        <v>20K-40K</v>
      </c>
      <c r="J285" s="2"/>
      <c r="K285" s="2"/>
      <c r="L285" s="2"/>
      <c r="M285" s="2"/>
      <c r="N285" s="2"/>
      <c r="O285" s="2" t="str">
        <f>Messy_Data!S285</f>
        <v>M7</v>
      </c>
      <c r="P285" s="2" t="str">
        <f>Messy_Data!U285</f>
        <v>RESIGNED</v>
      </c>
      <c r="Q285" s="2">
        <f ca="1">Messy_Data!V285</f>
        <v>1321</v>
      </c>
      <c r="R285" s="2">
        <f ca="1">Messy_Data!W285</f>
        <v>43</v>
      </c>
      <c r="S285" s="2">
        <f ca="1">Messy_Data!X285</f>
        <v>3</v>
      </c>
      <c r="T285" s="2"/>
      <c r="U285" s="2"/>
      <c r="V285" s="2"/>
      <c r="W285" s="9"/>
      <c r="X285" s="2"/>
      <c r="Y285" s="12"/>
      <c r="Z285" s="12"/>
      <c r="AA285" s="2" t="str">
        <f ca="1">Messy_Data!AA285</f>
        <v>OK</v>
      </c>
    </row>
    <row r="286" spans="1:27" x14ac:dyDescent="0.3">
      <c r="A286" s="2" t="str">
        <f>Messy_Data!B286</f>
        <v>EMP285</v>
      </c>
      <c r="B286" s="2" t="str">
        <f>Messy_Data!D286</f>
        <v>Sunita</v>
      </c>
      <c r="C286" s="2" t="str">
        <f>Messy_Data!F286</f>
        <v>HR</v>
      </c>
      <c r="D286" s="3">
        <f>Messy_Data!H286</f>
        <v>44563</v>
      </c>
      <c r="E286" s="3">
        <f ca="1">Messy_Data!J286</f>
        <v>45104</v>
      </c>
      <c r="F286" s="2">
        <f>Messy_Data!L286</f>
        <v>9513014697</v>
      </c>
      <c r="G286" s="2" t="str">
        <f>Messy_Data!N286</f>
        <v>ravi@company.com</v>
      </c>
      <c r="H286" s="12">
        <f>Messy_Data!O286</f>
        <v>46040</v>
      </c>
      <c r="I286" s="2" t="str">
        <f>Messy_Data!P286</f>
        <v>40K-60K</v>
      </c>
      <c r="J286" s="2"/>
      <c r="K286" s="2"/>
      <c r="L286" s="2"/>
      <c r="M286" s="2"/>
      <c r="N286" s="2"/>
      <c r="O286" s="2" t="str">
        <f>Messy_Data!S286</f>
        <v>M13</v>
      </c>
      <c r="P286" s="2" t="str">
        <f>Messy_Data!U286</f>
        <v>ACTIVE</v>
      </c>
      <c r="Q286" s="2">
        <f ca="1">Messy_Data!V286</f>
        <v>541</v>
      </c>
      <c r="R286" s="2">
        <f ca="1">Messy_Data!W286</f>
        <v>17</v>
      </c>
      <c r="S286" s="2">
        <f ca="1">Messy_Data!X286</f>
        <v>1</v>
      </c>
      <c r="T286" s="2"/>
      <c r="U286" s="2"/>
      <c r="V286" s="2"/>
      <c r="W286" s="9"/>
      <c r="X286" s="2"/>
      <c r="Y286" s="12"/>
      <c r="Z286" s="12"/>
      <c r="AA286" s="2" t="str">
        <f ca="1">Messy_Data!AA286</f>
        <v>OK</v>
      </c>
    </row>
    <row r="287" spans="1:27" x14ac:dyDescent="0.3">
      <c r="A287" s="2" t="str">
        <f>Messy_Data!B287</f>
        <v>EMP286</v>
      </c>
      <c r="B287" s="2" t="str">
        <f>Messy_Data!D287</f>
        <v>Suresh</v>
      </c>
      <c r="C287" s="2" t="str">
        <f>Messy_Data!F287</f>
        <v>HR</v>
      </c>
      <c r="D287" s="3">
        <f>Messy_Data!H287</f>
        <v>44224</v>
      </c>
      <c r="E287" s="3">
        <f ca="1">Messy_Data!J287</f>
        <v>45057</v>
      </c>
      <c r="F287" s="2">
        <f>Messy_Data!L287</f>
        <v>9731732913</v>
      </c>
      <c r="G287" s="2" t="str">
        <f>Messy_Data!N287</f>
        <v>amit@company.com</v>
      </c>
      <c r="H287" s="12">
        <f>Messy_Data!O287</f>
        <v>17250</v>
      </c>
      <c r="I287" s="2" t="str">
        <f>Messy_Data!P287</f>
        <v>Below 20K</v>
      </c>
      <c r="J287" s="2"/>
      <c r="K287" s="2"/>
      <c r="L287" s="2"/>
      <c r="M287" s="2"/>
      <c r="N287" s="2"/>
      <c r="O287" s="2" t="str">
        <f>Messy_Data!S287</f>
        <v>M14</v>
      </c>
      <c r="P287" s="2" t="str">
        <f>Messy_Data!U287</f>
        <v>RESIGNED</v>
      </c>
      <c r="Q287" s="2">
        <f ca="1">Messy_Data!V287</f>
        <v>833</v>
      </c>
      <c r="R287" s="2">
        <f ca="1">Messy_Data!W287</f>
        <v>27</v>
      </c>
      <c r="S287" s="2">
        <f ca="1">Messy_Data!X287</f>
        <v>2</v>
      </c>
      <c r="T287" s="2"/>
      <c r="U287" s="2"/>
      <c r="V287" s="2"/>
      <c r="W287" s="9"/>
      <c r="X287" s="2"/>
      <c r="Y287" s="12"/>
      <c r="Z287" s="12"/>
      <c r="AA287" s="2" t="str">
        <f ca="1">Messy_Data!AA287</f>
        <v>OK</v>
      </c>
    </row>
    <row r="288" spans="1:27" x14ac:dyDescent="0.3">
      <c r="A288" s="2" t="str">
        <f>Messy_Data!B288</f>
        <v>EMP287</v>
      </c>
      <c r="B288" s="2" t="str">
        <f>Messy_Data!D288</f>
        <v>Ankit</v>
      </c>
      <c r="C288" s="2" t="str">
        <f>Messy_Data!F288</f>
        <v>IT</v>
      </c>
      <c r="D288" s="3">
        <f>Messy_Data!H288</f>
        <v>43900</v>
      </c>
      <c r="E288" s="3">
        <f ca="1">Messy_Data!J288</f>
        <v>46024</v>
      </c>
      <c r="F288" s="2">
        <f>Messy_Data!L288</f>
        <v>9144917075</v>
      </c>
      <c r="G288" s="2" t="str">
        <f>Messy_Data!N288</f>
        <v>suresh@company.com</v>
      </c>
      <c r="H288" s="12">
        <f>Messy_Data!O288</f>
        <v>77516</v>
      </c>
      <c r="I288" s="2" t="str">
        <f>Messy_Data!P288</f>
        <v>60K-80K</v>
      </c>
      <c r="J288" s="2"/>
      <c r="K288" s="2"/>
      <c r="L288" s="2"/>
      <c r="M288" s="2"/>
      <c r="N288" s="2"/>
      <c r="O288" s="2" t="str">
        <f>Messy_Data!S288</f>
        <v>M23</v>
      </c>
      <c r="P288" s="2" t="str">
        <f>Messy_Data!U288</f>
        <v>RESIGNED</v>
      </c>
      <c r="Q288" s="2">
        <f ca="1">Messy_Data!V288</f>
        <v>2124</v>
      </c>
      <c r="R288" s="2">
        <f ca="1">Messy_Data!W288</f>
        <v>69</v>
      </c>
      <c r="S288" s="2">
        <f ca="1">Messy_Data!X288</f>
        <v>5</v>
      </c>
      <c r="T288" s="2"/>
      <c r="U288" s="2"/>
      <c r="V288" s="2"/>
      <c r="W288" s="9"/>
      <c r="X288" s="2"/>
      <c r="Y288" s="12"/>
      <c r="Z288" s="12"/>
      <c r="AA288" s="2" t="str">
        <f ca="1">Messy_Data!AA288</f>
        <v>OK</v>
      </c>
    </row>
    <row r="289" spans="1:27" x14ac:dyDescent="0.3">
      <c r="A289" s="2" t="str">
        <f>Messy_Data!B289</f>
        <v>EMP288</v>
      </c>
      <c r="B289" s="2" t="str">
        <f>Messy_Data!D289</f>
        <v>Ankit</v>
      </c>
      <c r="C289" s="2" t="str">
        <f>Messy_Data!F289</f>
        <v>HR</v>
      </c>
      <c r="D289" s="3">
        <f>Messy_Data!H289</f>
        <v>44145</v>
      </c>
      <c r="E289" s="3">
        <f ca="1">Messy_Data!J289</f>
        <v>44295</v>
      </c>
      <c r="F289" s="2">
        <f>Messy_Data!L289</f>
        <v>9406478617</v>
      </c>
      <c r="G289" s="2" t="str">
        <f>Messy_Data!N289</f>
        <v>kiran@gmail.com</v>
      </c>
      <c r="H289" s="12">
        <f>Messy_Data!O289</f>
        <v>89227</v>
      </c>
      <c r="I289" s="2" t="str">
        <f>Messy_Data!P289</f>
        <v>Above 80K</v>
      </c>
      <c r="J289" s="2"/>
      <c r="K289" s="2"/>
      <c r="L289" s="2"/>
      <c r="M289" s="2"/>
      <c r="N289" s="2"/>
      <c r="O289" s="2" t="str">
        <f>Messy_Data!S289</f>
        <v>M16</v>
      </c>
      <c r="P289" s="2" t="str">
        <f>Messy_Data!U289</f>
        <v>RESIGNED</v>
      </c>
      <c r="Q289" s="2">
        <f ca="1">Messy_Data!V289</f>
        <v>150</v>
      </c>
      <c r="R289" s="2">
        <f ca="1">Messy_Data!W289</f>
        <v>4</v>
      </c>
      <c r="S289" s="2">
        <f ca="1">Messy_Data!X289</f>
        <v>0</v>
      </c>
      <c r="T289" s="2"/>
      <c r="U289" s="2"/>
      <c r="V289" s="2"/>
      <c r="W289" s="9"/>
      <c r="X289" s="2"/>
      <c r="Y289" s="12"/>
      <c r="Z289" s="12"/>
      <c r="AA289" s="2" t="str">
        <f ca="1">Messy_Data!AA289</f>
        <v>CHECK</v>
      </c>
    </row>
    <row r="290" spans="1:27" x14ac:dyDescent="0.3">
      <c r="A290" s="2" t="str">
        <f>Messy_Data!B290</f>
        <v>EMP289</v>
      </c>
      <c r="B290" s="2" t="str">
        <f>Messy_Data!D290</f>
        <v>Vikas</v>
      </c>
      <c r="C290" s="2" t="str">
        <f>Messy_Data!F290</f>
        <v>HR</v>
      </c>
      <c r="D290" s="3">
        <f>Messy_Data!H290</f>
        <v>44250</v>
      </c>
      <c r="E290" s="3">
        <f ca="1">Messy_Data!J290</f>
        <v>44316</v>
      </c>
      <c r="F290" s="2">
        <f>Messy_Data!L290</f>
        <v>9451093835</v>
      </c>
      <c r="G290" s="2" t="str">
        <f>Messy_Data!N290</f>
        <v>suresh@company.com</v>
      </c>
      <c r="H290" s="12">
        <f>Messy_Data!O290</f>
        <v>52206</v>
      </c>
      <c r="I290" s="2" t="str">
        <f>Messy_Data!P290</f>
        <v>40K-60K</v>
      </c>
      <c r="J290" s="2"/>
      <c r="K290" s="2"/>
      <c r="L290" s="2"/>
      <c r="M290" s="2"/>
      <c r="N290" s="2"/>
      <c r="O290" s="2" t="str">
        <f>Messy_Data!S290</f>
        <v>M23</v>
      </c>
      <c r="P290" s="2" t="str">
        <f>Messy_Data!U290</f>
        <v>ON HOLD</v>
      </c>
      <c r="Q290" s="2">
        <f ca="1">Messy_Data!V290</f>
        <v>66</v>
      </c>
      <c r="R290" s="2">
        <f ca="1">Messy_Data!W290</f>
        <v>2</v>
      </c>
      <c r="S290" s="2">
        <f ca="1">Messy_Data!X290</f>
        <v>0</v>
      </c>
      <c r="T290" s="2"/>
      <c r="U290" s="2"/>
      <c r="V290" s="2"/>
      <c r="W290" s="9"/>
      <c r="X290" s="2"/>
      <c r="Y290" s="12"/>
      <c r="Z290" s="12"/>
      <c r="AA290" s="2" t="str">
        <f ca="1">Messy_Data!AA290</f>
        <v>OK</v>
      </c>
    </row>
    <row r="291" spans="1:27" x14ac:dyDescent="0.3">
      <c r="A291" s="2" t="str">
        <f>Messy_Data!B291</f>
        <v>EMP290</v>
      </c>
      <c r="B291" s="2" t="str">
        <f>Messy_Data!D291</f>
        <v>Rahul</v>
      </c>
      <c r="C291" s="2" t="str">
        <f>Messy_Data!F291</f>
        <v>HR</v>
      </c>
      <c r="D291" s="3">
        <f>Messy_Data!H291</f>
        <v>44056</v>
      </c>
      <c r="E291" s="3">
        <f ca="1">Messy_Data!J291</f>
        <v>45395</v>
      </c>
      <c r="F291" s="2">
        <f>Messy_Data!L291</f>
        <v>9983103052</v>
      </c>
      <c r="G291" s="2" t="str">
        <f>Messy_Data!N291</f>
        <v>neha@company.com</v>
      </c>
      <c r="H291" s="12">
        <f>Messy_Data!O291</f>
        <v>48655</v>
      </c>
      <c r="I291" s="2" t="str">
        <f>Messy_Data!P291</f>
        <v>40K-60K</v>
      </c>
      <c r="J291" s="2"/>
      <c r="K291" s="2"/>
      <c r="L291" s="2"/>
      <c r="M291" s="2"/>
      <c r="N291" s="2"/>
      <c r="O291" s="2" t="str">
        <f>Messy_Data!S291</f>
        <v>M13</v>
      </c>
      <c r="P291" s="2" t="str">
        <f>Messy_Data!U291</f>
        <v>ACTIVE</v>
      </c>
      <c r="Q291" s="2">
        <f ca="1">Messy_Data!V291</f>
        <v>1339</v>
      </c>
      <c r="R291" s="2">
        <f ca="1">Messy_Data!W291</f>
        <v>44</v>
      </c>
      <c r="S291" s="2">
        <f ca="1">Messy_Data!X291</f>
        <v>3</v>
      </c>
      <c r="T291" s="2"/>
      <c r="U291" s="2"/>
      <c r="V291" s="2"/>
      <c r="W291" s="9"/>
      <c r="X291" s="2"/>
      <c r="Y291" s="12"/>
      <c r="Z291" s="12"/>
      <c r="AA291" s="2" t="str">
        <f ca="1">Messy_Data!AA291</f>
        <v>OK</v>
      </c>
    </row>
    <row r="292" spans="1:27" x14ac:dyDescent="0.3">
      <c r="A292" s="2" t="str">
        <f>Messy_Data!B292</f>
        <v>EMP291</v>
      </c>
      <c r="B292" s="2" t="str">
        <f>Messy_Data!D292</f>
        <v>Suresh</v>
      </c>
      <c r="C292" s="2" t="str">
        <f>Messy_Data!F292</f>
        <v>IT</v>
      </c>
      <c r="D292" s="3">
        <f>Messy_Data!H292</f>
        <v>44788</v>
      </c>
      <c r="E292" s="3">
        <f ca="1">Messy_Data!J292</f>
        <v>45890</v>
      </c>
      <c r="F292" s="2">
        <f>Messy_Data!L292</f>
        <v>9623206865</v>
      </c>
      <c r="G292" s="2" t="str">
        <f>Messy_Data!N292</f>
        <v>ankit@company.com</v>
      </c>
      <c r="H292" s="12">
        <f>Messy_Data!O292</f>
        <v>83298</v>
      </c>
      <c r="I292" s="2" t="str">
        <f>Messy_Data!P292</f>
        <v>Above 80K</v>
      </c>
      <c r="J292" s="2"/>
      <c r="K292" s="2"/>
      <c r="L292" s="2"/>
      <c r="M292" s="2"/>
      <c r="N292" s="2"/>
      <c r="O292" s="2" t="str">
        <f>Messy_Data!S292</f>
        <v>M3</v>
      </c>
      <c r="P292" s="2" t="str">
        <f>Messy_Data!U292</f>
        <v>ACTIVE</v>
      </c>
      <c r="Q292" s="2">
        <f ca="1">Messy_Data!V292</f>
        <v>1102</v>
      </c>
      <c r="R292" s="2">
        <f ca="1">Messy_Data!W292</f>
        <v>36</v>
      </c>
      <c r="S292" s="2">
        <f ca="1">Messy_Data!X292</f>
        <v>3</v>
      </c>
      <c r="T292" s="2"/>
      <c r="U292" s="2"/>
      <c r="V292" s="2"/>
      <c r="W292" s="9"/>
      <c r="X292" s="2"/>
      <c r="Y292" s="12"/>
      <c r="Z292" s="12"/>
      <c r="AA292" s="2" t="str">
        <f ca="1">Messy_Data!AA292</f>
        <v>OK</v>
      </c>
    </row>
    <row r="293" spans="1:27" x14ac:dyDescent="0.3">
      <c r="A293" s="2" t="str">
        <f>Messy_Data!B293</f>
        <v>EMP292</v>
      </c>
      <c r="B293" s="2" t="str">
        <f>Messy_Data!D293</f>
        <v>Vikas</v>
      </c>
      <c r="C293" s="2" t="str">
        <f>Messy_Data!F293</f>
        <v>FINANCE</v>
      </c>
      <c r="D293" s="3">
        <f>Messy_Data!H293</f>
        <v>44130</v>
      </c>
      <c r="E293" s="3">
        <f ca="1">Messy_Data!J293</f>
        <v>44763</v>
      </c>
      <c r="F293" s="2">
        <f>Messy_Data!L293</f>
        <v>9685575045</v>
      </c>
      <c r="G293" s="2" t="str">
        <f>Messy_Data!N293</f>
        <v>pooja@company.com</v>
      </c>
      <c r="H293" s="12">
        <f>Messy_Data!O293</f>
        <v>30053</v>
      </c>
      <c r="I293" s="2" t="str">
        <f>Messy_Data!P293</f>
        <v>20K-40K</v>
      </c>
      <c r="J293" s="2"/>
      <c r="K293" s="2"/>
      <c r="L293" s="2"/>
      <c r="M293" s="2"/>
      <c r="N293" s="2"/>
      <c r="O293" s="2" t="str">
        <f>Messy_Data!S293</f>
        <v>M12</v>
      </c>
      <c r="P293" s="2" t="str">
        <f>Messy_Data!U293</f>
        <v>RESIGNED</v>
      </c>
      <c r="Q293" s="2">
        <f ca="1">Messy_Data!V293</f>
        <v>633</v>
      </c>
      <c r="R293" s="2">
        <f ca="1">Messy_Data!W293</f>
        <v>20</v>
      </c>
      <c r="S293" s="2">
        <f ca="1">Messy_Data!X293</f>
        <v>1</v>
      </c>
      <c r="T293" s="2"/>
      <c r="U293" s="2"/>
      <c r="V293" s="2"/>
      <c r="W293" s="9"/>
      <c r="X293" s="2"/>
      <c r="Y293" s="12"/>
      <c r="Z293" s="12"/>
      <c r="AA293" s="2" t="str">
        <f ca="1">Messy_Data!AA293</f>
        <v>OK</v>
      </c>
    </row>
    <row r="294" spans="1:27" x14ac:dyDescent="0.3">
      <c r="A294" s="2" t="str">
        <f>Messy_Data!B294</f>
        <v>EMP293</v>
      </c>
      <c r="B294" s="2" t="str">
        <f>Messy_Data!D294</f>
        <v>Rahul</v>
      </c>
      <c r="C294" s="2" t="str">
        <f>Messy_Data!F294</f>
        <v>HR</v>
      </c>
      <c r="D294" s="3">
        <f>Messy_Data!H294</f>
        <v>45207</v>
      </c>
      <c r="E294" s="3">
        <f ca="1">Messy_Data!J294</f>
        <v>46313</v>
      </c>
      <c r="F294" s="2">
        <f>Messy_Data!L294</f>
        <v>9517237392</v>
      </c>
      <c r="G294" s="2" t="str">
        <f>Messy_Data!N294</f>
        <v>suresh@company.com</v>
      </c>
      <c r="H294" s="12">
        <f>Messy_Data!O294</f>
        <v>94340</v>
      </c>
      <c r="I294" s="2" t="str">
        <f>Messy_Data!P294</f>
        <v>Above 80K</v>
      </c>
      <c r="J294" s="2"/>
      <c r="K294" s="2"/>
      <c r="L294" s="2"/>
      <c r="M294" s="2"/>
      <c r="N294" s="2"/>
      <c r="O294" s="2" t="str">
        <f>Messy_Data!S294</f>
        <v>M4</v>
      </c>
      <c r="P294" s="2" t="str">
        <f>Messy_Data!U294</f>
        <v>ON HOLD</v>
      </c>
      <c r="Q294" s="2">
        <f ca="1">Messy_Data!V294</f>
        <v>1106</v>
      </c>
      <c r="R294" s="2">
        <f ca="1">Messy_Data!W294</f>
        <v>36</v>
      </c>
      <c r="S294" s="2">
        <f ca="1">Messy_Data!X294</f>
        <v>3</v>
      </c>
      <c r="T294" s="2"/>
      <c r="U294" s="2"/>
      <c r="V294" s="2"/>
      <c r="W294" s="9"/>
      <c r="X294" s="2"/>
      <c r="Y294" s="12"/>
      <c r="Z294" s="12"/>
      <c r="AA294" s="2" t="str">
        <f ca="1">Messy_Data!AA294</f>
        <v>OK</v>
      </c>
    </row>
    <row r="295" spans="1:27" x14ac:dyDescent="0.3">
      <c r="A295" s="2" t="str">
        <f>Messy_Data!B295</f>
        <v>EMP294</v>
      </c>
      <c r="B295" s="2" t="str">
        <f>Messy_Data!D295</f>
        <v>Kiran</v>
      </c>
      <c r="C295" s="2" t="str">
        <f>Messy_Data!F295</f>
        <v>SALES</v>
      </c>
      <c r="D295" s="3">
        <f>Messy_Data!H295</f>
        <v>45199</v>
      </c>
      <c r="E295" s="3">
        <f ca="1">Messy_Data!J295</f>
        <v>46024</v>
      </c>
      <c r="F295" s="2">
        <f>Messy_Data!L295</f>
        <v>9701233989</v>
      </c>
      <c r="G295" s="2" t="str">
        <f>Messy_Data!N295</f>
        <v>ravi@company.com</v>
      </c>
      <c r="H295" s="12">
        <f>Messy_Data!O295</f>
        <v>86839</v>
      </c>
      <c r="I295" s="2" t="str">
        <f>Messy_Data!P295</f>
        <v>Above 80K</v>
      </c>
      <c r="J295" s="2"/>
      <c r="K295" s="2"/>
      <c r="L295" s="2"/>
      <c r="M295" s="2"/>
      <c r="N295" s="2"/>
      <c r="O295" s="2" t="str">
        <f>Messy_Data!S295</f>
        <v>M9</v>
      </c>
      <c r="P295" s="2" t="str">
        <f>Messy_Data!U295</f>
        <v>ACTIVE</v>
      </c>
      <c r="Q295" s="2">
        <f ca="1">Messy_Data!V295</f>
        <v>825</v>
      </c>
      <c r="R295" s="2">
        <f ca="1">Messy_Data!W295</f>
        <v>27</v>
      </c>
      <c r="S295" s="2">
        <f ca="1">Messy_Data!X295</f>
        <v>2</v>
      </c>
      <c r="T295" s="2"/>
      <c r="U295" s="2"/>
      <c r="V295" s="2"/>
      <c r="W295" s="9"/>
      <c r="X295" s="2"/>
      <c r="Y295" s="12"/>
      <c r="Z295" s="12"/>
      <c r="AA295" s="2" t="str">
        <f ca="1">Messy_Data!AA295</f>
        <v>OK</v>
      </c>
    </row>
    <row r="296" spans="1:27" x14ac:dyDescent="0.3">
      <c r="A296" s="2" t="str">
        <f>Messy_Data!B296</f>
        <v>EMP295</v>
      </c>
      <c r="B296" s="2" t="str">
        <f>Messy_Data!D296</f>
        <v>Suresh</v>
      </c>
      <c r="C296" s="2" t="str">
        <f>Messy_Data!F296</f>
        <v>IT</v>
      </c>
      <c r="D296" s="3">
        <f>Messy_Data!H296</f>
        <v>44386</v>
      </c>
      <c r="E296" s="3">
        <f ca="1">Messy_Data!J296</f>
        <v>45684</v>
      </c>
      <c r="F296" s="2">
        <f>Messy_Data!L296</f>
        <v>9722925154</v>
      </c>
      <c r="G296" s="2" t="str">
        <f>Messy_Data!N296</f>
        <v>pooja@company.com</v>
      </c>
      <c r="H296" s="12">
        <f>Messy_Data!O296</f>
        <v>50237</v>
      </c>
      <c r="I296" s="2" t="str">
        <f>Messy_Data!P296</f>
        <v>40K-60K</v>
      </c>
      <c r="J296" s="2"/>
      <c r="K296" s="2"/>
      <c r="L296" s="2"/>
      <c r="M296" s="2"/>
      <c r="N296" s="2"/>
      <c r="O296" s="2" t="str">
        <f>Messy_Data!S296</f>
        <v>M2</v>
      </c>
      <c r="P296" s="2" t="str">
        <f>Messy_Data!U296</f>
        <v>RESIGNED</v>
      </c>
      <c r="Q296" s="2">
        <f ca="1">Messy_Data!V296</f>
        <v>1298</v>
      </c>
      <c r="R296" s="2">
        <f ca="1">Messy_Data!W296</f>
        <v>42</v>
      </c>
      <c r="S296" s="2">
        <f ca="1">Messy_Data!X296</f>
        <v>3</v>
      </c>
      <c r="T296" s="2"/>
      <c r="U296" s="2"/>
      <c r="V296" s="2"/>
      <c r="W296" s="9"/>
      <c r="X296" s="2"/>
      <c r="Y296" s="12"/>
      <c r="Z296" s="12"/>
      <c r="AA296" s="2" t="str">
        <f ca="1">Messy_Data!AA296</f>
        <v>OK</v>
      </c>
    </row>
    <row r="297" spans="1:27" x14ac:dyDescent="0.3">
      <c r="A297" s="2" t="str">
        <f>Messy_Data!B297</f>
        <v>EMP296</v>
      </c>
      <c r="B297" s="2" t="str">
        <f>Messy_Data!D297</f>
        <v>Rahul</v>
      </c>
      <c r="C297" s="2" t="str">
        <f>Messy_Data!F297</f>
        <v>IT</v>
      </c>
      <c r="D297" s="3">
        <f>Messy_Data!H297</f>
        <v>44599</v>
      </c>
      <c r="E297" s="3">
        <f ca="1">Messy_Data!J297</f>
        <v>45725</v>
      </c>
      <c r="F297" s="2">
        <f>Messy_Data!L297</f>
        <v>9540888252</v>
      </c>
      <c r="G297" s="2" t="str">
        <f>Messy_Data!N297</f>
        <v>sunita@gmail.com</v>
      </c>
      <c r="H297" s="12">
        <f>Messy_Data!O297</f>
        <v>28566</v>
      </c>
      <c r="I297" s="2" t="str">
        <f>Messy_Data!P297</f>
        <v>20K-40K</v>
      </c>
      <c r="J297" s="2"/>
      <c r="K297" s="2"/>
      <c r="L297" s="2"/>
      <c r="M297" s="2"/>
      <c r="N297" s="2"/>
      <c r="O297" s="2" t="str">
        <f>Messy_Data!S297</f>
        <v>M12</v>
      </c>
      <c r="P297" s="2" t="str">
        <f>Messy_Data!U297</f>
        <v>ACTIVE</v>
      </c>
      <c r="Q297" s="2">
        <f ca="1">Messy_Data!V297</f>
        <v>1126</v>
      </c>
      <c r="R297" s="2">
        <f ca="1">Messy_Data!W297</f>
        <v>37</v>
      </c>
      <c r="S297" s="2">
        <f ca="1">Messy_Data!X297</f>
        <v>3</v>
      </c>
      <c r="T297" s="2"/>
      <c r="U297" s="2"/>
      <c r="V297" s="2"/>
      <c r="W297" s="9"/>
      <c r="X297" s="2"/>
      <c r="Y297" s="12"/>
      <c r="Z297" s="12"/>
      <c r="AA297" s="2" t="str">
        <f ca="1">Messy_Data!AA297</f>
        <v>OK</v>
      </c>
    </row>
    <row r="298" spans="1:27" x14ac:dyDescent="0.3">
      <c r="A298" s="2" t="str">
        <f>Messy_Data!B298</f>
        <v>EMP297</v>
      </c>
      <c r="B298" s="2" t="str">
        <f>Messy_Data!D298</f>
        <v>Pooja</v>
      </c>
      <c r="C298" s="2" t="str">
        <f>Messy_Data!F298</f>
        <v>HR</v>
      </c>
      <c r="D298" s="3">
        <f>Messy_Data!H298</f>
        <v>43941</v>
      </c>
      <c r="E298" s="3">
        <f ca="1">Messy_Data!J298</f>
        <v>45028</v>
      </c>
      <c r="F298" s="2">
        <f>Messy_Data!L298</f>
        <v>9373955065</v>
      </c>
      <c r="G298" s="2" t="str">
        <f>Messy_Data!N298</f>
        <v>suresh@company.com</v>
      </c>
      <c r="H298" s="12">
        <f>Messy_Data!O298</f>
        <v>40288</v>
      </c>
      <c r="I298" s="2" t="str">
        <f>Messy_Data!P298</f>
        <v>40K-60K</v>
      </c>
      <c r="J298" s="2"/>
      <c r="K298" s="2"/>
      <c r="L298" s="2"/>
      <c r="M298" s="2"/>
      <c r="N298" s="2"/>
      <c r="O298" s="2" t="str">
        <f>Messy_Data!S298</f>
        <v>M24</v>
      </c>
      <c r="P298" s="2" t="str">
        <f>Messy_Data!U298</f>
        <v>ACTIVE</v>
      </c>
      <c r="Q298" s="2">
        <f ca="1">Messy_Data!V298</f>
        <v>1087</v>
      </c>
      <c r="R298" s="2">
        <f ca="1">Messy_Data!W298</f>
        <v>35</v>
      </c>
      <c r="S298" s="2">
        <f ca="1">Messy_Data!X298</f>
        <v>2</v>
      </c>
      <c r="T298" s="2"/>
      <c r="U298" s="2"/>
      <c r="V298" s="2"/>
      <c r="W298" s="9"/>
      <c r="X298" s="2"/>
      <c r="Y298" s="12"/>
      <c r="Z298" s="12"/>
      <c r="AA298" s="2" t="str">
        <f ca="1">Messy_Data!AA298</f>
        <v>OK</v>
      </c>
    </row>
    <row r="299" spans="1:27" x14ac:dyDescent="0.3">
      <c r="A299" s="2" t="str">
        <f>Messy_Data!B299</f>
        <v>EMP298</v>
      </c>
      <c r="B299" s="2" t="str">
        <f>Messy_Data!D299</f>
        <v>Rahul</v>
      </c>
      <c r="C299" s="2" t="str">
        <f>Messy_Data!F299</f>
        <v>SALES</v>
      </c>
      <c r="D299" s="3">
        <f>Messy_Data!H299</f>
        <v>45098</v>
      </c>
      <c r="E299" s="3">
        <f ca="1">Messy_Data!J299</f>
        <v>46416</v>
      </c>
      <c r="F299" s="2">
        <f>Messy_Data!L299</f>
        <v>9111465155</v>
      </c>
      <c r="G299" s="2" t="str">
        <f>Messy_Data!N299</f>
        <v>kiran@company.com</v>
      </c>
      <c r="H299" s="12">
        <f>Messy_Data!O299</f>
        <v>56309</v>
      </c>
      <c r="I299" s="2" t="str">
        <f>Messy_Data!P299</f>
        <v>40K-60K</v>
      </c>
      <c r="J299" s="2"/>
      <c r="K299" s="2"/>
      <c r="L299" s="2"/>
      <c r="M299" s="2"/>
      <c r="N299" s="2"/>
      <c r="O299" s="2" t="str">
        <f>Messy_Data!S299</f>
        <v>M15</v>
      </c>
      <c r="P299" s="2" t="str">
        <f>Messy_Data!U299</f>
        <v>ACTIVE</v>
      </c>
      <c r="Q299" s="2">
        <f ca="1">Messy_Data!V299</f>
        <v>1318</v>
      </c>
      <c r="R299" s="2">
        <f ca="1">Messy_Data!W299</f>
        <v>43</v>
      </c>
      <c r="S299" s="2">
        <f ca="1">Messy_Data!X299</f>
        <v>3</v>
      </c>
      <c r="T299" s="2"/>
      <c r="U299" s="2"/>
      <c r="V299" s="2"/>
      <c r="W299" s="9"/>
      <c r="X299" s="2"/>
      <c r="Y299" s="12"/>
      <c r="Z299" s="12"/>
      <c r="AA299" s="2" t="str">
        <f ca="1">Messy_Data!AA299</f>
        <v>OK</v>
      </c>
    </row>
    <row r="300" spans="1:27" x14ac:dyDescent="0.3">
      <c r="A300" s="2" t="str">
        <f>Messy_Data!B300</f>
        <v>EMP299</v>
      </c>
      <c r="B300" s="2" t="str">
        <f>Messy_Data!D300</f>
        <v>Sunita</v>
      </c>
      <c r="C300" s="2" t="str">
        <f>Messy_Data!F300</f>
        <v>SALES</v>
      </c>
      <c r="D300" s="3">
        <f>Messy_Data!H300</f>
        <v>45071</v>
      </c>
      <c r="E300" s="3">
        <f ca="1">Messy_Data!J300</f>
        <v>46326</v>
      </c>
      <c r="F300" s="2">
        <f>Messy_Data!L300</f>
        <v>9782757973</v>
      </c>
      <c r="G300" s="2" t="str">
        <f>Messy_Data!N300</f>
        <v>kiran@company.com</v>
      </c>
      <c r="H300" s="12">
        <f>Messy_Data!O300</f>
        <v>77449</v>
      </c>
      <c r="I300" s="2" t="str">
        <f>Messy_Data!P300</f>
        <v>60K-80K</v>
      </c>
      <c r="J300" s="2"/>
      <c r="K300" s="2"/>
      <c r="L300" s="2"/>
      <c r="M300" s="2"/>
      <c r="N300" s="2"/>
      <c r="O300" s="2" t="str">
        <f>Messy_Data!S300</f>
        <v>M11</v>
      </c>
      <c r="P300" s="2" t="str">
        <f>Messy_Data!U300</f>
        <v>RESIGNED</v>
      </c>
      <c r="Q300" s="2">
        <f ca="1">Messy_Data!V300</f>
        <v>1255</v>
      </c>
      <c r="R300" s="2">
        <f ca="1">Messy_Data!W300</f>
        <v>41</v>
      </c>
      <c r="S300" s="2">
        <f ca="1">Messy_Data!X300</f>
        <v>3</v>
      </c>
      <c r="T300" s="2"/>
      <c r="U300" s="2"/>
      <c r="V300" s="2"/>
      <c r="W300" s="9"/>
      <c r="X300" s="2"/>
      <c r="Y300" s="12"/>
      <c r="Z300" s="12"/>
      <c r="AA300" s="2" t="str">
        <f ca="1">Messy_Data!AA300</f>
        <v>OK</v>
      </c>
    </row>
    <row r="301" spans="1:27" x14ac:dyDescent="0.3">
      <c r="A301" s="2" t="str">
        <f>Messy_Data!B301</f>
        <v>EMP300</v>
      </c>
      <c r="B301" s="2" t="str">
        <f>Messy_Data!D301</f>
        <v>Ankit</v>
      </c>
      <c r="C301" s="2" t="str">
        <f>Messy_Data!F301</f>
        <v>SALES</v>
      </c>
      <c r="D301" s="3">
        <f>Messy_Data!H301</f>
        <v>43888</v>
      </c>
      <c r="E301" s="3">
        <f ca="1">Messy_Data!J301</f>
        <v>44884</v>
      </c>
      <c r="F301" s="2">
        <f>Messy_Data!L301</f>
        <v>9346875401</v>
      </c>
      <c r="G301" s="2" t="str">
        <f>Messy_Data!N301</f>
        <v>neha@company.com</v>
      </c>
      <c r="H301" s="12">
        <f>Messy_Data!O301</f>
        <v>58738</v>
      </c>
      <c r="I301" s="2" t="str">
        <f>Messy_Data!P301</f>
        <v>40K-60K</v>
      </c>
      <c r="J301" s="2"/>
      <c r="K301" s="2"/>
      <c r="L301" s="2"/>
      <c r="M301" s="2"/>
      <c r="N301" s="2"/>
      <c r="O301" s="2" t="str">
        <f>Messy_Data!S301</f>
        <v>M11</v>
      </c>
      <c r="P301" s="2" t="str">
        <f>Messy_Data!U301</f>
        <v>ACTIVE</v>
      </c>
      <c r="Q301" s="2">
        <f ca="1">Messy_Data!V301</f>
        <v>996</v>
      </c>
      <c r="R301" s="2">
        <f ca="1">Messy_Data!W301</f>
        <v>32</v>
      </c>
      <c r="S301" s="2">
        <f ca="1">Messy_Data!X301</f>
        <v>2</v>
      </c>
      <c r="T301" s="2"/>
      <c r="U301" s="2"/>
      <c r="V301" s="2"/>
      <c r="W301" s="9"/>
      <c r="X301" s="2"/>
      <c r="Y301" s="12"/>
      <c r="Z301" s="12"/>
      <c r="AA301" s="2" t="str">
        <f ca="1">Messy_Data!AA301</f>
        <v>OK</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D41C-7C26-4603-B9FD-4DA883E8F43D}">
  <dimension ref="A2:I30"/>
  <sheetViews>
    <sheetView zoomScale="60" zoomScaleNormal="60" workbookViewId="0">
      <selection activeCell="L42" sqref="L42"/>
    </sheetView>
  </sheetViews>
  <sheetFormatPr defaultRowHeight="14.4" x14ac:dyDescent="0.3"/>
  <cols>
    <col min="1" max="1" width="25.88671875" bestFit="1" customWidth="1"/>
    <col min="2" max="2" width="22.109375" bestFit="1" customWidth="1"/>
    <col min="3" max="3" width="19.88671875" bestFit="1" customWidth="1"/>
    <col min="4" max="4" width="20.6640625" bestFit="1" customWidth="1"/>
    <col min="5" max="5" width="28.109375" bestFit="1" customWidth="1"/>
    <col min="6" max="6" width="10.77734375" bestFit="1" customWidth="1"/>
    <col min="7" max="7" width="18.21875" bestFit="1" customWidth="1"/>
    <col min="8" max="8" width="25.88671875" bestFit="1" customWidth="1"/>
    <col min="9" max="9" width="28.109375" bestFit="1" customWidth="1"/>
    <col min="10" max="10" width="12.5546875" bestFit="1" customWidth="1"/>
    <col min="11" max="11" width="32.88671875" bestFit="1" customWidth="1"/>
    <col min="12" max="12" width="20.109375" bestFit="1" customWidth="1"/>
    <col min="13" max="18" width="4.77734375" bestFit="1" customWidth="1"/>
    <col min="19" max="19" width="12.5546875" bestFit="1" customWidth="1"/>
    <col min="20" max="20" width="20.109375" bestFit="1" customWidth="1"/>
    <col min="21" max="25" width="4.77734375" bestFit="1" customWidth="1"/>
    <col min="26" max="32" width="3.77734375" bestFit="1" customWidth="1"/>
    <col min="33" max="33" width="10.77734375" bestFit="1" customWidth="1"/>
  </cols>
  <sheetData>
    <row r="2" spans="1:9" x14ac:dyDescent="0.3">
      <c r="A2" s="39" t="s">
        <v>963</v>
      </c>
      <c r="B2" s="39" t="s">
        <v>932</v>
      </c>
      <c r="H2" s="39" t="s">
        <v>930</v>
      </c>
      <c r="I2" t="s">
        <v>963</v>
      </c>
    </row>
    <row r="3" spans="1:9" x14ac:dyDescent="0.3">
      <c r="A3" s="39" t="s">
        <v>928</v>
      </c>
      <c r="B3" t="s">
        <v>964</v>
      </c>
      <c r="C3" t="s">
        <v>17</v>
      </c>
      <c r="D3" t="s">
        <v>962</v>
      </c>
      <c r="H3" t="s">
        <v>358</v>
      </c>
      <c r="I3" s="38">
        <v>1</v>
      </c>
    </row>
    <row r="4" spans="1:9" x14ac:dyDescent="0.3">
      <c r="A4" t="s">
        <v>960</v>
      </c>
      <c r="B4" s="38"/>
      <c r="C4" s="38">
        <v>1</v>
      </c>
      <c r="D4" s="38">
        <v>1</v>
      </c>
      <c r="H4" t="s">
        <v>55</v>
      </c>
      <c r="I4" s="38">
        <v>1</v>
      </c>
    </row>
    <row r="5" spans="1:9" x14ac:dyDescent="0.3">
      <c r="A5" t="s">
        <v>961</v>
      </c>
      <c r="B5" s="38">
        <v>1</v>
      </c>
      <c r="C5" s="38"/>
      <c r="D5" s="38">
        <v>1</v>
      </c>
      <c r="H5" t="s">
        <v>962</v>
      </c>
      <c r="I5" s="38">
        <v>2</v>
      </c>
    </row>
    <row r="6" spans="1:9" x14ac:dyDescent="0.3">
      <c r="A6" t="s">
        <v>962</v>
      </c>
      <c r="B6" s="38">
        <v>1</v>
      </c>
      <c r="C6" s="38">
        <v>1</v>
      </c>
      <c r="D6" s="38">
        <v>2</v>
      </c>
    </row>
    <row r="11" spans="1:9" x14ac:dyDescent="0.3">
      <c r="D11" s="39" t="s">
        <v>928</v>
      </c>
      <c r="E11" t="s">
        <v>967</v>
      </c>
    </row>
    <row r="12" spans="1:9" x14ac:dyDescent="0.3">
      <c r="D12" t="s">
        <v>960</v>
      </c>
      <c r="E12" s="40">
        <v>4</v>
      </c>
    </row>
    <row r="13" spans="1:9" x14ac:dyDescent="0.3">
      <c r="D13" t="s">
        <v>961</v>
      </c>
      <c r="E13" s="40">
        <v>4</v>
      </c>
    </row>
    <row r="14" spans="1:9" x14ac:dyDescent="0.3">
      <c r="D14" t="s">
        <v>962</v>
      </c>
      <c r="E14" s="40">
        <v>4</v>
      </c>
    </row>
    <row r="26" spans="1:5" x14ac:dyDescent="0.3">
      <c r="A26" s="39" t="s">
        <v>928</v>
      </c>
      <c r="B26" t="s">
        <v>966</v>
      </c>
    </row>
    <row r="27" spans="1:5" x14ac:dyDescent="0.3">
      <c r="A27" t="s">
        <v>960</v>
      </c>
      <c r="B27" s="13">
        <v>62508</v>
      </c>
    </row>
    <row r="28" spans="1:5" x14ac:dyDescent="0.3">
      <c r="A28" t="s">
        <v>961</v>
      </c>
      <c r="B28" s="13">
        <v>71743</v>
      </c>
      <c r="D28" s="39" t="s">
        <v>941</v>
      </c>
      <c r="E28" t="s">
        <v>963</v>
      </c>
    </row>
    <row r="29" spans="1:5" x14ac:dyDescent="0.3">
      <c r="A29" t="s">
        <v>962</v>
      </c>
      <c r="B29" s="13">
        <v>67125.5</v>
      </c>
      <c r="D29" t="s">
        <v>965</v>
      </c>
      <c r="E29" s="38">
        <v>2</v>
      </c>
    </row>
    <row r="30" spans="1:5" x14ac:dyDescent="0.3">
      <c r="D30" t="s">
        <v>962</v>
      </c>
      <c r="E30" s="38">
        <v>2</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4DAC-DF16-460E-86EC-A305480AA4AB}">
  <dimension ref="AA9:AA13"/>
  <sheetViews>
    <sheetView showGridLines="0" zoomScale="80" zoomScaleNormal="80" workbookViewId="0">
      <selection activeCell="AC24" sqref="AC24"/>
    </sheetView>
  </sheetViews>
  <sheetFormatPr defaultRowHeight="14.4" x14ac:dyDescent="0.3"/>
  <cols>
    <col min="27" max="27" width="0.109375" customWidth="1"/>
  </cols>
  <sheetData>
    <row r="9" spans="27:27" x14ac:dyDescent="0.3">
      <c r="AA9" s="41">
        <v>300</v>
      </c>
    </row>
    <row r="11" spans="27:27" x14ac:dyDescent="0.3">
      <c r="AA11">
        <v>105</v>
      </c>
    </row>
    <row r="12" spans="27:27" x14ac:dyDescent="0.3">
      <c r="AA12">
        <v>120</v>
      </c>
    </row>
    <row r="13" spans="27:27" x14ac:dyDescent="0.3">
      <c r="AA13">
        <v>75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Messy_Data</vt:lpstr>
      <vt:lpstr>Clean_Data</vt:lpstr>
      <vt:lpstr>Pivote_Table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Tausiful Haque</cp:lastModifiedBy>
  <dcterms:created xsi:type="dcterms:W3CDTF">2025-12-18T08:12:44Z</dcterms:created>
  <dcterms:modified xsi:type="dcterms:W3CDTF">2026-01-02T16:19:24Z</dcterms:modified>
</cp:coreProperties>
</file>